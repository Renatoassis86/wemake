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dora_v3" sheetId="1" state="visible" r:id="rId3"/>
    <sheet name="Comodato_Leasing" sheetId="2" state="visible" r:id="rId4"/>
    <sheet name="parametros_livro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<sst xmlns="http://schemas.openxmlformats.org/spreadsheetml/2006/main" count="344" uniqueCount="277">
  <si>
    <t xml:space="preserve">WE MAKE — Calculadora de Proposta  |  Score  |  v6.0</t>
  </si>
  <si>
    <t xml:space="preserve">Campo</t>
  </si>
  <si>
    <t xml:space="preserve">Valor</t>
  </si>
  <si>
    <t xml:space="preserve">Memória</t>
  </si>
  <si>
    <t xml:space="preserve">Parâmetro</t>
  </si>
  <si>
    <t xml:space="preserve">Justificativa</t>
  </si>
  <si>
    <t xml:space="preserve">1. ENTRADAS — campos amarelos</t>
  </si>
  <si>
    <t xml:space="preserve">PARÂMETROS FIXOS</t>
  </si>
  <si>
    <t xml:space="preserve">Número de alunos</t>
  </si>
  <si>
    <t xml:space="preserve">Total de alunos atendidos pela We Make nesta escola.</t>
  </si>
  <si>
    <t xml:space="preserve">Livro/aluno/ano (R$)</t>
  </si>
  <si>
    <t xml:space="preserve">R$16,50×12=R$198/aluno/ano.</t>
  </si>
  <si>
    <t xml:space="preserve">Ticket médio mensal/aluno (R$)</t>
  </si>
  <si>
    <t xml:space="preserve">Mensalidade cobrada pela escola ao pai.</t>
  </si>
  <si>
    <t xml:space="preserve">Teto único (R$/aluno/ano)</t>
  </si>
  <si>
    <t xml:space="preserve">Teto absoluto — todas as escolas.</t>
  </si>
  <si>
    <t xml:space="preserve">Segmentos atendidos (1, 2 ou 3)</t>
  </si>
  <si>
    <t xml:space="preserve">Número de ciclos/segmentos escolares.</t>
  </si>
  <si>
    <t xml:space="preserve">Piso único (R$/aluno/ano)</t>
  </si>
  <si>
    <t xml:space="preserve">Piso único — nenhuma escola paga menos.</t>
  </si>
  <si>
    <t xml:space="preserve">Alta complexidade? (SIM / NÃO)</t>
  </si>
  <si>
    <t xml:space="preserve">NÃO</t>
  </si>
  <si>
    <t xml:space="preserve">SIM = força score máximo de complexidade.</t>
  </si>
  <si>
    <t xml:space="preserve">Alunos mín. referência</t>
  </si>
  <si>
    <t xml:space="preserve">Score escala=1,00 com 1 aluno.</t>
  </si>
  <si>
    <t xml:space="preserve">Situação do contrato</t>
  </si>
  <si>
    <t xml:space="preserve">Novo</t>
  </si>
  <si>
    <t xml:space="preserve">Novo / Renovação 1º ciclo / Renovação 2º ciclo+</t>
  </si>
  <si>
    <t xml:space="preserve">Alunos máx. referência</t>
  </si>
  <si>
    <t xml:space="preserve">Score escala→0,00 com 800 alunos.</t>
  </si>
  <si>
    <t xml:space="preserve">Desconto comercial (%)</t>
  </si>
  <si>
    <t xml:space="preserve">Redução após preço calculado. Sujeito à governança.</t>
  </si>
  <si>
    <t xml:space="preserve">Ticket referência máx (R$)</t>
  </si>
  <si>
    <t xml:space="preserve">Ticket acima deste=score máximo.</t>
  </si>
  <si>
    <t xml:space="preserve">Qtd. parcelas currículo (4–12)</t>
  </si>
  <si>
    <t xml:space="preserve">Default 4x. CEO pode ampliar até 12x.</t>
  </si>
  <si>
    <t xml:space="preserve">Pesos</t>
  </si>
  <si>
    <t xml:space="preserve">35/30/20/15%</t>
  </si>
  <si>
    <t xml:space="preserve">escala/ticket/complexidade/fidelidade.</t>
  </si>
  <si>
    <t xml:space="preserve">2. SCORES DOS FATORES</t>
  </si>
  <si>
    <t xml:space="preserve">2. SCORES</t>
  </si>
  <si>
    <t xml:space="preserve">Fator</t>
  </si>
  <si>
    <t xml:space="preserve">Score</t>
  </si>
  <si>
    <t xml:space="preserve">Peso</t>
  </si>
  <si>
    <t xml:space="preserve">Score 1 — Escala</t>
  </si>
  <si>
    <t xml:space="preserve">35% — escola maior paga menos.</t>
  </si>
  <si>
    <t xml:space="preserve">Score 2 — Ticket</t>
  </si>
  <si>
    <t xml:space="preserve">30% — ticket maior=preço maior.</t>
  </si>
  <si>
    <t xml:space="preserve">Score 3 — Complexidade</t>
  </si>
  <si>
    <t xml:space="preserve">20% — mais segmentos=mais entrega.</t>
  </si>
  <si>
    <t xml:space="preserve">Score 4 — Fidelidade</t>
  </si>
  <si>
    <t xml:space="preserve">15% — renovação gera desconto.</t>
  </si>
  <si>
    <t xml:space="preserve">SCORE FINAL PONDERADO</t>
  </si>
  <si>
    <t xml:space="preserve">Soma pesos = 100%</t>
  </si>
  <si>
    <t xml:space="preserve">35+30+20+15=100%.</t>
  </si>
  <si>
    <t xml:space="preserve">3. EQUAÇÃO  —  Valor = R$280 + R$140 × Score</t>
  </si>
  <si>
    <t xml:space="preserve">Etapa</t>
  </si>
  <si>
    <t xml:space="preserve">Componente</t>
  </si>
  <si>
    <t xml:space="preserve">① Score×intervalo</t>
  </si>
  <si>
    <t xml:space="preserve">Amplitude</t>
  </si>
  <si>
    <t xml:space="preserve">R$140 de espaço para o score navegar.</t>
  </si>
  <si>
    <t xml:space="preserve">② Desconto</t>
  </si>
  <si>
    <t xml:space="preserve">Governança</t>
  </si>
  <si>
    <t xml:space="preserve">≤5% autônomo | 6–10% Renato | &gt;10% Dênis.</t>
  </si>
  <si>
    <t xml:space="preserve">③ Piso</t>
  </si>
  <si>
    <t xml:space="preserve">Status</t>
  </si>
  <si>
    <t xml:space="preserve">Nunca abaixo de R$280/aluno/ano.</t>
  </si>
  <si>
    <t xml:space="preserve">VALOR / ALUNO / ANO FINAL</t>
  </si>
  <si>
    <t xml:space="preserve">Valor anual total currículo</t>
  </si>
  <si>
    <t xml:space="preserve">4. RESULTADO FINANCEIRO — CURRÍCULO</t>
  </si>
  <si>
    <t xml:space="preserve">Indicador</t>
  </si>
  <si>
    <t xml:space="preserve">Valor anual total</t>
  </si>
  <si>
    <t xml:space="preserve">Parcela mensal currículo</t>
  </si>
  <si>
    <t xml:space="preserve">Custo operacional 70%</t>
  </si>
  <si>
    <t xml:space="preserve">Resultado líquido 30%</t>
  </si>
  <si>
    <t xml:space="preserve">ℹ Parcela total escola = Currículo (esta aba) + Comodato Price. Ver aba COMODATO_LEASING.</t>
  </si>
  <si>
    <t xml:space="preserve">WE MAKE — Comodato Leasing  |  Price + IPCA  |  Análise Interna Completa</t>
  </si>
  <si>
    <t xml:space="preserve">Descrição do item</t>
  </si>
  <si>
    <t xml:space="preserve">Und</t>
  </si>
  <si>
    <t xml:space="preserve">Valor unit. (R$)</t>
  </si>
  <si>
    <t xml:space="preserve">Valor total (R$)</t>
  </si>
  <si>
    <t xml:space="preserve">Regra / Justificativa</t>
  </si>
  <si>
    <t xml:space="preserve">Máquina digital</t>
  </si>
  <si>
    <t xml:space="preserve">Duração total do contrato (anos)</t>
  </si>
  <si>
    <t xml:space="preserve">Anos totais do contrato. Escola paga durante todo esse período.</t>
  </si>
  <si>
    <t xml:space="preserve">Máquina manual</t>
  </si>
  <si>
    <t xml:space="preserve">Duração total do contrato (meses)</t>
  </si>
  <si>
    <t xml:space="preserve">Calculado: anos × 12.</t>
  </si>
  <si>
    <t xml:space="preserve">Ferramenta</t>
  </si>
  <si>
    <t xml:space="preserve">Prazo amortização comodato (meses)</t>
  </si>
  <si>
    <t xml:space="preserve">≤100 al.=48 | 101–300=36 | 301–500=24 | &gt;500=12. Define taxa escalonada.</t>
  </si>
  <si>
    <t xml:space="preserve">Papelaria</t>
  </si>
  <si>
    <t xml:space="preserve">Parcelas de amortização</t>
  </si>
  <si>
    <t xml:space="preserve">Igual ao prazo — usado no cálculo Price e nas taxas de manutenção/adm.</t>
  </si>
  <si>
    <t xml:space="preserve">Organização</t>
  </si>
  <si>
    <t xml:space="preserve">Taxa mensal do leasing — i (valor em %, ex: 2,2)</t>
  </si>
  <si>
    <t xml:space="preserve">Taxa mensal de remuneração do capital. Digite em % sem o símbolo (ex: 2,2 = 2,20% ao mês). Mín: 1,5 | Máx: 3,2.</t>
  </si>
  <si>
    <t xml:space="preserve">Eletrônica</t>
  </si>
  <si>
    <t xml:space="preserve">IPCA anual estimado (valor em %, ex: 5,5)</t>
  </si>
  <si>
    <t xml:space="preserve">IPCA anual estimado. Digite em % sem o símbolo (ex: 5,5 = 5,5% ao ano). Padrão: 5,5.</t>
  </si>
  <si>
    <t xml:space="preserve">Informática</t>
  </si>
  <si>
    <t xml:space="preserve">Nº de alunos (auto — Calculadora_v3)</t>
  </si>
  <si>
    <t xml:space="preserve">Puxado automaticamente da Calculadora_v3.</t>
  </si>
  <si>
    <t xml:space="preserve">Mídias</t>
  </si>
  <si>
    <t xml:space="preserve">Valor anual currículo (auto)</t>
  </si>
  <si>
    <t xml:space="preserve">Valor anual total do currículo — puxado da Calculadora_v3.</t>
  </si>
  <si>
    <t xml:space="preserve">Segurança</t>
  </si>
  <si>
    <t xml:space="preserve">Maior sala (nº alunos)</t>
  </si>
  <si>
    <t xml:space="preserve">Input manual: tamanho da maior turma da escola.</t>
  </si>
  <si>
    <t xml:space="preserve">Seguro</t>
  </si>
  <si>
    <t xml:space="preserve">Qtd. notebooks</t>
  </si>
  <si>
    <t xml:space="preserve">Metade da maior sala, arredondado para cima.</t>
  </si>
  <si>
    <t xml:space="preserve">Manutenção (% escalonado por prazo × anos contrato)</t>
  </si>
  <si>
    <t xml:space="preserve">Taxas escalonadas por prazo de amortização (manutenção e adm — sobre itens base)</t>
  </si>
  <si>
    <t xml:space="preserve">Taxa administrativa (% escalonado — APENAS sobre itens base)</t>
  </si>
  <si>
    <t xml:space="preserve">Prazo amort.</t>
  </si>
  <si>
    <t xml:space="preserve">Taxa manutenção</t>
  </si>
  <si>
    <t xml:space="preserve">Taxa adm</t>
  </si>
  <si>
    <t xml:space="preserve">Base de cálculo</t>
  </si>
  <si>
    <t xml:space="preserve">Retorno esperado</t>
  </si>
  <si>
    <t xml:space="preserve">Regra</t>
  </si>
  <si>
    <t xml:space="preserve">INVESTIMENTO TOTAL — PV</t>
  </si>
  <si>
    <t xml:space="preserve">12 parcelas</t>
  </si>
  <si>
    <t xml:space="preserve">10%</t>
  </si>
  <si>
    <t xml:space="preserve">Itens base</t>
  </si>
  <si>
    <t xml:space="preserve">63–85% s/PV</t>
  </si>
  <si>
    <t xml:space="preserve">Prazo curto → risco baixo → taxa menor</t>
  </si>
  <si>
    <t xml:space="preserve">24 parcelas</t>
  </si>
  <si>
    <t xml:space="preserve">15%</t>
  </si>
  <si>
    <t xml:space="preserve">40–53% s/PV</t>
  </si>
  <si>
    <t xml:space="preserve">Prazo médio → risco moderado</t>
  </si>
  <si>
    <t xml:space="preserve">36 parcelas</t>
  </si>
  <si>
    <t xml:space="preserve">20%</t>
  </si>
  <si>
    <t xml:space="preserve">22–28% s/PV</t>
  </si>
  <si>
    <t xml:space="preserve">Prazo longo → risco elevado</t>
  </si>
  <si>
    <t xml:space="preserve">48 parcelas</t>
  </si>
  <si>
    <t xml:space="preserve">25%</t>
  </si>
  <si>
    <t xml:space="preserve">8–12% s/PV</t>
  </si>
  <si>
    <t xml:space="preserve">Prazo máximo → maior risco → taxa maior</t>
  </si>
  <si>
    <t xml:space="preserve">CÁLCULO PRICE  —  PV × [i×(1+i)^n ÷ ((1+i)^n−1)]  |  Parcela FIXA durante todo o contrato</t>
  </si>
  <si>
    <t xml:space="preserve">Símbolo</t>
  </si>
  <si>
    <t xml:space="preserve">Resultado</t>
  </si>
  <si>
    <t xml:space="preserve">Investimento total (PV)</t>
  </si>
  <si>
    <t xml:space="preserve">PV</t>
  </si>
  <si>
    <t xml:space="preserve">Parcela comodato Price (R$/mês)</t>
  </si>
  <si>
    <t xml:space="preserve">Verificação — pgto() Excel</t>
  </si>
  <si>
    <t xml:space="preserve">PV×[i×(1+i)^n÷((1+i)^n−1)] — parcela FIXA em todo o contrato</t>
  </si>
  <si>
    <t xml:space="preserve">Taxa mensal leasing (i)</t>
  </si>
  <si>
    <t xml:space="preserve">i</t>
  </si>
  <si>
    <t xml:space="preserve">Total recebido — comodato</t>
  </si>
  <si>
    <t xml:space="preserve">Meses totais contrato</t>
  </si>
  <si>
    <t xml:space="preserve">Parcela Price × N meses do contrato (não só os de amortização)</t>
  </si>
  <si>
    <t xml:space="preserve">Prazo amortização — n (meses)</t>
  </si>
  <si>
    <t xml:space="preserve">n</t>
  </si>
  <si>
    <t xml:space="preserve">Resultado bruto comodato</t>
  </si>
  <si>
    <t xml:space="preserve">Meses de margem pura</t>
  </si>
  <si>
    <t xml:space="preserve">Meses após amortização em que a parcela é resultado puro</t>
  </si>
  <si>
    <t xml:space="preserve">Duração contrato — N (meses)</t>
  </si>
  <si>
    <t xml:space="preserve">N</t>
  </si>
  <si>
    <t xml:space="preserve">Retorno sobre PV (%)</t>
  </si>
  <si>
    <t xml:space="preserve">Taxa efetiva anual</t>
  </si>
  <si>
    <t xml:space="preserve">(1+i)^12−1 — equivalente anual da taxa mensal do leasing</t>
  </si>
  <si>
    <t xml:space="preserve">Fator (1+i)^n</t>
  </si>
  <si>
    <t xml:space="preserve">(1+i)^n</t>
  </si>
  <si>
    <t xml:space="preserve">Parcela mensal currículo — Ano 1</t>
  </si>
  <si>
    <t xml:space="preserve">Parcela total escola — Ano 1</t>
  </si>
  <si>
    <t xml:space="preserve">Currículo mês 1 + comodato Price — O NÚMERO QUE A ESCOLA VÊ</t>
  </si>
  <si>
    <t xml:space="preserve">Numerador i×(1+i)^n</t>
  </si>
  <si>
    <t xml:space="preserve">i×(1+i)^n</t>
  </si>
  <si>
    <t xml:space="preserve">Denominador (1+i)^n−1</t>
  </si>
  <si>
    <t xml:space="preserve">(1+i)^n−1</t>
  </si>
  <si>
    <t xml:space="preserve">PARCELA TOTAL POR ANO  —  Currículo (IPCA anual) + Comodato Price (FIXO)  |  O QUE A ESCOLA PAGA</t>
  </si>
  <si>
    <t xml:space="preserve">Ano</t>
  </si>
  <si>
    <t xml:space="preserve">Período</t>
  </si>
  <si>
    <t xml:space="preserve">Fator IPCA acum.</t>
  </si>
  <si>
    <t xml:space="preserve">Parcela currículo (R$/mês)</t>
  </si>
  <si>
    <t xml:space="preserve">Parcela comodato (R$/mês)</t>
  </si>
  <si>
    <t xml:space="preserve">PARCELA TOTAL ESCOLA (R$/mês)</t>
  </si>
  <si>
    <t xml:space="preserve">Receita currículo anual</t>
  </si>
  <si>
    <t xml:space="preserve">Receita comodato anual</t>
  </si>
  <si>
    <t xml:space="preserve">Receita total anual</t>
  </si>
  <si>
    <t xml:space="preserve">Ano 1</t>
  </si>
  <si>
    <t xml:space="preserve">Meses 1–12</t>
  </si>
  <si>
    <t xml:space="preserve">Ano 2</t>
  </si>
  <si>
    <t xml:space="preserve">Meses 13–24</t>
  </si>
  <si>
    <t xml:space="preserve">Ano 3</t>
  </si>
  <si>
    <t xml:space="preserve">Meses 25–36</t>
  </si>
  <si>
    <t xml:space="preserve">Ano 4</t>
  </si>
  <si>
    <t xml:space="preserve">Meses 37–48</t>
  </si>
  <si>
    <t xml:space="preserve">Ano 5</t>
  </si>
  <si>
    <t xml:space="preserve">Meses 49–60</t>
  </si>
  <si>
    <t xml:space="preserve">Ano 6</t>
  </si>
  <si>
    <t xml:space="preserve">Meses 61–72</t>
  </si>
  <si>
    <t xml:space="preserve">TOTAL (5 anos)</t>
  </si>
  <si>
    <t xml:space="preserve">RESUMO EXECUTIVO — O QUE A ESCOLA VÊ vs O QUE A WE MAKE ANALISA</t>
  </si>
  <si>
    <t xml:space="preserve">O QUE A ESCOLA VÊ</t>
  </si>
  <si>
    <t xml:space="preserve">O QUE A WE MAKE ANALISA</t>
  </si>
  <si>
    <t xml:space="preserve">Duração do contrato</t>
  </si>
  <si>
    <t xml:space="preserve">Investimento total PV</t>
  </si>
  <si>
    <t xml:space="preserve">Parcela mensal — Ano 1 (R$)</t>
  </si>
  <si>
    <t xml:space="preserve">Parcela Price comodato</t>
  </si>
  <si>
    <t xml:space="preserve">Reajuste anual</t>
  </si>
  <si>
    <t xml:space="preserve">Posse do equipamento</t>
  </si>
  <si>
    <t xml:space="preserve">Retorno s/PV + taxa efetiva a.a.</t>
  </si>
  <si>
    <t xml:space="preserve">⚙ Amarelo=inputs editáveis | Verde=parcela escola/resultado WE MAKE | Azul=memória | Parcela Price FIXA no contrato | Currículo reajustado por IPCA anualmente | Seguro qty = notebooks = ROUNDUP(maior sala ÷ 2) | Manutenção e Adm sobre itens base apenas</t>
  </si>
  <si>
    <t xml:space="preserve">Régua Operacional da Parceria Padrão — We Make (V2.5)</t>
  </si>
  <si>
    <t xml:space="preserve">Observação</t>
  </si>
  <si>
    <t xml:space="preserve">Alunos mínimos para Parceria Padrão</t>
  </si>
  <si>
    <t xml:space="preserve">Abaixo disso, a regra é avaliar Parceria Essencial ou caso estratégico.</t>
  </si>
  <si>
    <t xml:space="preserve">Prazo padrão (meses)</t>
  </si>
  <si>
    <t xml:space="preserve">Prazo padrão recomendado para propostas novas.</t>
  </si>
  <si>
    <t xml:space="preserve">Base por escola (R$/mês)</t>
  </si>
  <si>
    <t xml:space="preserve">Componente fixo da mensalidade.</t>
  </si>
  <si>
    <t xml:space="preserve">Valor por aluno (R$/mês)</t>
  </si>
  <si>
    <t xml:space="preserve">Componente variável da mensalidade.</t>
  </si>
  <si>
    <t xml:space="preserve">Acréscimo para 2 segmentos</t>
  </si>
  <si>
    <t xml:space="preserve">Aplicar sobre a mensalidade-base calculada.</t>
  </si>
  <si>
    <t xml:space="preserve">Acréscimo para 3 segmentos / alta complexidade</t>
  </si>
  <si>
    <t xml:space="preserve">Taxa de implantação — 1 segmento</t>
  </si>
  <si>
    <t xml:space="preserve">Cobrança separada da mensalidade. Setup de R$ 5 mil (Viagem, treinameto, estadia etc)</t>
  </si>
  <si>
    <t xml:space="preserve">Taxa de implantação — 2 segmentos</t>
  </si>
  <si>
    <t xml:space="preserve">Taxa de implantação — 3 segmentos / alta complexidade</t>
  </si>
  <si>
    <t xml:space="preserve">Visita extra por dia técnico</t>
  </si>
  <si>
    <t xml:space="preserve">Logística sempre por conta da escola. </t>
  </si>
  <si>
    <t xml:space="preserve">Limite de desconto normal</t>
  </si>
  <si>
    <t xml:space="preserve">Até 5% pode ser tratado como negociação normal.</t>
  </si>
  <si>
    <t xml:space="preserve">Faixa de exceção</t>
  </si>
  <si>
    <t xml:space="preserve">Acima de 10% não é negociação normal; classificar como exceção estratégica ou rever enquadramento.</t>
  </si>
  <si>
    <t xml:space="preserve">IPCA</t>
  </si>
  <si>
    <t xml:space="preserve">Sem redução por deflação; considerar cláusula de reequilíbrio extraordinário quando necessário.</t>
  </si>
  <si>
    <t xml:space="preserve">Política de logística</t>
  </si>
  <si>
    <t xml:space="preserve">Por conta da We Make</t>
  </si>
  <si>
    <t xml:space="preserve">Passagens, hospedagem e translados do presencial devem ficar explícitos na proposta.</t>
  </si>
  <si>
    <t xml:space="preserve">Régua Operacional da Parceria Essencial</t>
  </si>
  <si>
    <t xml:space="preserve">Abaixo disso, a regra é avaliar se é caso estratégico ou recusar.</t>
  </si>
  <si>
    <t xml:space="preserve">NÃO OFERTAR COMO REGRA. Aplicar sobre a mensalidade-base calculada.</t>
  </si>
  <si>
    <t xml:space="preserve">Cobrança separada da mensalidade.</t>
  </si>
  <si>
    <t xml:space="preserve">Logística sempre por conta da escola.</t>
  </si>
  <si>
    <t xml:space="preserve">Cobrado à parte</t>
  </si>
  <si>
    <t xml:space="preserve">10 escolas em média 20 alunos</t>
  </si>
  <si>
    <t xml:space="preserve">Preço por livro</t>
  </si>
  <si>
    <t xml:space="preserve">Valor Total</t>
  </si>
  <si>
    <t xml:space="preserve">Total de aluno/escola</t>
  </si>
  <si>
    <t xml:space="preserve">Valor/escola</t>
  </si>
  <si>
    <t xml:space="preserve">valor/aluno</t>
  </si>
  <si>
    <t xml:space="preserve">Markup</t>
  </si>
  <si>
    <t xml:space="preserve">investimento</t>
  </si>
  <si>
    <t xml:space="preserve">valor/mensal investimento</t>
  </si>
  <si>
    <t xml:space="preserve">1º Ano F1</t>
  </si>
  <si>
    <t xml:space="preserve">2º Ano F1</t>
  </si>
  <si>
    <t xml:space="preserve">3º Ano F1</t>
  </si>
  <si>
    <t xml:space="preserve">4º Ano F1</t>
  </si>
  <si>
    <t xml:space="preserve">5º Ano F1</t>
  </si>
  <si>
    <t xml:space="preserve">6º Ano F2</t>
  </si>
  <si>
    <t xml:space="preserve">7º Ano F2</t>
  </si>
  <si>
    <t xml:space="preserve">8º Ano F2</t>
  </si>
  <si>
    <t xml:space="preserve">9º Ano F2</t>
  </si>
  <si>
    <t xml:space="preserve">1º Ano EM</t>
  </si>
  <si>
    <t xml:space="preserve">2º Ano EM</t>
  </si>
  <si>
    <t xml:space="preserve">3º Ano EM</t>
  </si>
  <si>
    <t xml:space="preserve">RESTRIÇÕES DE PRECIFICAÇÃO</t>
  </si>
  <si>
    <t xml:space="preserve">Teto máximo valor/aluno/ano (R$)</t>
  </si>
  <si>
    <t xml:space="preserve">Valor máximo por aluno por ano em qualquer contrato.</t>
  </si>
  <si>
    <t xml:space="preserve">Piso mínimo valor/aluno/ano — escolas grandes (R$)</t>
  </si>
  <si>
    <t xml:space="preserve">Piso para faixas acima de 500 alunos.</t>
  </si>
  <si>
    <t xml:space="preserve">Custo livro/aluno/mês (R$)</t>
  </si>
  <si>
    <t xml:space="preserve">Valor do livro por aluno/mês — fixo.</t>
  </si>
  <si>
    <t xml:space="preserve">% custo sobre valor do livro</t>
  </si>
  <si>
    <t xml:space="preserve">Custo efetivo = 50% do valor cobrado do livro.</t>
  </si>
  <si>
    <t xml:space="preserve">% custo operacional sobre receita anual</t>
  </si>
  <si>
    <t xml:space="preserve">Custo total = 70% da receita. Resultado = 30%.</t>
  </si>
  <si>
    <t xml:space="preserve">Faixa 1 — limite superior (alunos)</t>
  </si>
  <si>
    <t xml:space="preserve">Até 100 alunos — sem piso ativo.</t>
  </si>
  <si>
    <t xml:space="preserve">Faixa 2 — limite superior (alunos)</t>
  </si>
  <si>
    <t xml:space="preserve">Até 300 alunos.</t>
  </si>
  <si>
    <t xml:space="preserve">Faixa 3 — limite superior (alunos)</t>
  </si>
  <si>
    <t xml:space="preserve">Até 500 alunos — piso de R$280 ativo acima disso.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</si>
</sst>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0"/>
    <numFmt numFmtId="166" formatCode="&quot;R$ &quot;#,##0.00"/>
    <numFmt numFmtId="167" formatCode="&quot;R$ &quot;#,##0"/>
    <numFmt numFmtId="168" formatCode="@"/>
    <numFmt numFmtId="169" formatCode="0%"/>
    <numFmt numFmtId="170" formatCode="0.000"/>
    <numFmt numFmtId="171" formatCode="0.00&quot;%/mês&quot;"/>
    <numFmt numFmtId="172" formatCode="0.0&quot;%/ano&quot;"/>
    <numFmt numFmtId="173" formatCode="General"/>
    <numFmt numFmtId="174" formatCode="0.0000%"/>
    <numFmt numFmtId="175" formatCode="0&quot; meses&quot;"/>
    <numFmt numFmtId="176" formatCode="0.0%"/>
    <numFmt numFmtId="177" formatCode="0.000000"/>
    <numFmt numFmtId="178" formatCode="#,##0"/>
    <numFmt numFmtId="179" formatCode="0.00%"/>
    <numFmt numFmtId="180" formatCode="#,##0.00"/>
  </numFmts>
  <fonts count="38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FFFFFF"/>
      <name val="Arial"/>
      <family val="0"/>
      <charset val="1"/>
    </font>
    <font>
      <b val="true"/>
      <sz val="8"/>
      <color rgb="FF0A1C41"/>
      <name val="Arial"/>
      <family val="0"/>
      <charset val="1"/>
    </font>
    <font>
      <b val="true"/>
      <sz val="8"/>
      <color rgb="FFFFFFFF"/>
      <name val="Arial"/>
      <family val="0"/>
      <charset val="1"/>
    </font>
    <font>
      <sz val="9"/>
      <color rgb="FF000000"/>
      <name val="Arial"/>
      <family val="0"/>
      <charset val="1"/>
    </font>
    <font>
      <i val="true"/>
      <sz val="7"/>
      <color rgb="FF8A94A6"/>
      <name val="Arial"/>
      <family val="0"/>
      <charset val="1"/>
    </font>
    <font>
      <sz val="9"/>
      <name val="Arial"/>
      <family val="0"/>
      <charset val="1"/>
    </font>
    <font>
      <b val="true"/>
      <sz val="9"/>
      <color rgb="FFFFFFFF"/>
      <name val="Arial"/>
      <family val="0"/>
      <charset val="1"/>
    </font>
    <font>
      <b val="true"/>
      <sz val="12"/>
      <color rgb="FF73FAD3"/>
      <name val="Arial"/>
      <family val="0"/>
      <charset val="1"/>
    </font>
    <font>
      <i val="true"/>
      <sz val="7"/>
      <color rgb="FFFFFFFF"/>
      <name val="Arial"/>
      <family val="0"/>
      <charset val="1"/>
    </font>
    <font>
      <b val="true"/>
      <sz val="10"/>
      <color rgb="FF73FAD3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13"/>
      <color rgb="FF73FAD3"/>
      <name val="Arial"/>
      <family val="0"/>
      <charset val="1"/>
    </font>
    <font>
      <i val="true"/>
      <sz val="8"/>
      <color rgb="FFFFFFFF"/>
      <name val="Arial"/>
      <family val="0"/>
      <charset val="1"/>
    </font>
    <font>
      <b val="true"/>
      <sz val="9"/>
      <color rgb="FF000000"/>
      <name val="Arial"/>
      <family val="0"/>
      <charset val="1"/>
    </font>
    <font>
      <i val="true"/>
      <sz val="8"/>
      <color rgb="FF0A1C41"/>
      <name val="Arial"/>
      <family val="0"/>
      <charset val="1"/>
    </font>
    <font>
      <sz val="8"/>
      <color rgb="FF0A1C41"/>
      <name val="Arial"/>
      <family val="0"/>
      <charset val="1"/>
    </font>
    <font>
      <sz val="8"/>
      <color rgb="FF000000"/>
      <name val="Arial"/>
      <family val="0"/>
      <charset val="1"/>
    </font>
    <font>
      <b val="true"/>
      <sz val="9"/>
      <name val="Arial"/>
      <family val="0"/>
      <charset val="1"/>
    </font>
    <font>
      <sz val="8"/>
      <name val="Arial"/>
      <family val="0"/>
      <charset val="1"/>
    </font>
    <font>
      <b val="true"/>
      <sz val="7"/>
      <color rgb="FF0A1C41"/>
      <name val="Arial"/>
      <family val="0"/>
      <charset val="1"/>
    </font>
    <font>
      <sz val="7"/>
      <color rgb="FF0A1C41"/>
      <name val="Arial"/>
      <family val="0"/>
      <charset val="1"/>
    </font>
    <font>
      <b val="true"/>
      <sz val="9"/>
      <color rgb="FF0A1C41"/>
      <name val="Arial"/>
      <family val="0"/>
      <charset val="1"/>
    </font>
    <font>
      <b val="true"/>
      <sz val="11"/>
      <color rgb="FF0A1C41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sz val="10"/>
      <color rgb="FF0A1C41"/>
      <name val="Arial"/>
      <family val="0"/>
      <charset val="1"/>
    </font>
    <font>
      <b val="true"/>
      <sz val="9"/>
      <color rgb="FF73FAD3"/>
      <name val="Arial"/>
      <family val="0"/>
      <charset val="1"/>
    </font>
    <font>
      <b val="true"/>
      <sz val="10"/>
      <color rgb="FF0A1C41"/>
      <name val="Arial"/>
      <family val="0"/>
      <charset val="1"/>
    </font>
    <font>
      <b val="true"/>
      <sz val="14"/>
      <color rgb="FFFFFFFF"/>
      <name val="Calibri"/>
      <family val="0"/>
      <charset val="1"/>
    </font>
    <font>
      <b val="true"/>
      <sz val="11"/>
      <color rgb="FF1F4E78"/>
      <name val="Calibri"/>
      <family val="0"/>
      <charset val="1"/>
    </font>
    <font>
      <b val="true"/>
      <sz val="11"/>
      <color theme="1"/>
      <name val="Calibri"/>
      <family val="0"/>
      <charset val="1"/>
    </font>
    <font>
      <sz val="11"/>
      <color theme="1"/>
      <name val="Calibri"/>
      <family val="0"/>
      <charset val="1"/>
    </font>
    <font>
      <b val="true"/>
      <sz val="11"/>
      <color rgb="FFFFFFFF"/>
      <name val="Calibri"/>
      <family val="0"/>
      <charset val="1"/>
    </font>
    <font>
      <sz val="11"/>
      <color rgb="FFFFFFFF"/>
      <name val="Calibri"/>
      <family val="0"/>
      <charset val="1"/>
    </font>
    <font>
      <sz val="8"/>
      <color rgb="FF8A94A6"/>
      <name val="Arial"/>
      <family val="0"/>
      <charset val="1"/>
    </font>
  </fonts>
  <fills count="18">
    <fill>
      <patternFill patternType="none"/>
    </fill>
    <fill>
      <patternFill patternType="gray125"/>
    </fill>
    <fill>
      <patternFill patternType="solid">
        <fgColor rgb="FF0A1C41"/>
        <bgColor rgb="FF003300"/>
      </patternFill>
    </fill>
    <fill>
      <patternFill patternType="solid">
        <fgColor rgb="FFD9DDE8"/>
        <bgColor rgb="FFD9D9D9"/>
      </patternFill>
    </fill>
    <fill>
      <patternFill patternType="solid">
        <fgColor rgb="FFEEF4FF"/>
        <bgColor rgb="FFF2F4F8"/>
      </patternFill>
    </fill>
    <fill>
      <patternFill patternType="solid">
        <fgColor rgb="FFFFFFFF"/>
        <bgColor rgb="FFF2F4F8"/>
      </patternFill>
    </fill>
    <fill>
      <patternFill patternType="solid">
        <fgColor rgb="FF4B87D7"/>
        <bgColor rgb="FF666699"/>
      </patternFill>
    </fill>
    <fill>
      <patternFill patternType="solid">
        <fgColor rgb="FF4EC7DA"/>
        <bgColor rgb="FF73FAD3"/>
      </patternFill>
    </fill>
    <fill>
      <patternFill patternType="solid">
        <fgColor rgb="FFF2F4F8"/>
        <bgColor rgb="FFEEF4FF"/>
      </patternFill>
    </fill>
    <fill>
      <patternFill patternType="solid">
        <fgColor rgb="FFFFF2CC"/>
        <bgColor rgb="FFF2F4F8"/>
      </patternFill>
    </fill>
    <fill>
      <patternFill patternType="solid">
        <fgColor rgb="FFE0FDF4"/>
        <bgColor rgb="FFEEF4FF"/>
      </patternFill>
    </fill>
    <fill>
      <patternFill patternType="solid">
        <fgColor rgb="FFC6EFCE"/>
        <bgColor rgb="FFD9EAD3"/>
      </patternFill>
    </fill>
    <fill>
      <patternFill patternType="solid">
        <fgColor rgb="FF1F4E78"/>
        <bgColor rgb="FF333333"/>
      </patternFill>
    </fill>
    <fill>
      <patternFill patternType="solid">
        <fgColor rgb="FFD9EAF7"/>
        <bgColor rgb="FFD9DDE8"/>
      </patternFill>
    </fill>
    <fill>
      <patternFill patternType="solid">
        <fgColor rgb="FFD9D9D9"/>
        <bgColor rgb="FFD9DDE8"/>
      </patternFill>
    </fill>
    <fill>
      <patternFill patternType="solid">
        <fgColor theme="6"/>
        <bgColor rgb="FF1F4E78"/>
      </patternFill>
    </fill>
    <fill>
      <patternFill patternType="solid">
        <fgColor rgb="FFD9EAD3"/>
        <bgColor rgb="FFC6EFCE"/>
      </patternFill>
    </fill>
    <fill>
      <patternFill patternType="solid">
        <fgColor rgb="FF000000"/>
        <bgColor rgb="FF0A1C41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BBBFCC"/>
      </left>
      <right style="thin">
        <color rgb="FFBBBFCC"/>
      </right>
      <top style="thin">
        <color rgb="FFBBBFCC"/>
      </top>
      <bottom style="thin">
        <color rgb="FFBBBFC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7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9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7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9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7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7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9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11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9" fontId="13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9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9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0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1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0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8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21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1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2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9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0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1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1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26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7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8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7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7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28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27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0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0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7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3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30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0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0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30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1" fillId="1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2" fillId="1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33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8" fontId="3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3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3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3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9" fontId="3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80" fontId="3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9" fontId="3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34" fillId="1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1" fillId="15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1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9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9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9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3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80" fontId="3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3" fontId="35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17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7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008080"/>
      <rgbColor rgb="FFBBBFCC"/>
      <rgbColor rgb="FF808080"/>
      <rgbColor rgb="FF9999FF"/>
      <rgbColor rgb="FF993366"/>
      <rgbColor rgb="FFFFF2CC"/>
      <rgbColor rgb="FFE0FDF4"/>
      <rgbColor rgb="FF660066"/>
      <rgbColor rgb="FFFF8080"/>
      <rgbColor rgb="FF0066CC"/>
      <rgbColor rgb="FFD9DDE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AF7"/>
      <rgbColor rgb="FFC6EFCE"/>
      <rgbColor rgb="FFD9EAD3"/>
      <rgbColor rgb="FF73FAD3"/>
      <rgbColor rgb="FFF2F4F8"/>
      <rgbColor rgb="FFEEF4FF"/>
      <rgbColor rgb="FFD9D9D9"/>
      <rgbColor rgb="FF4B87D7"/>
      <rgbColor rgb="FF4EC7DA"/>
      <rgbColor rgb="FF99CC00"/>
      <rgbColor rgb="FFFFCC00"/>
      <rgbColor rgb="FFFF9900"/>
      <rgbColor rgb="FFFF6600"/>
      <rgbColor rgb="FF666699"/>
      <rgbColor rgb="FF8A94A6"/>
      <rgbColor rgb="FF0A1C41"/>
      <rgbColor rgb="FF339966"/>
      <rgbColor rgb="FF003300"/>
      <rgbColor rgb="FF333300"/>
      <rgbColor rgb="FF993300"/>
      <rgbColor rgb="FF993366"/>
      <rgbColor rgb="FF1F4E78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3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32"/>
    <col collapsed="false" customWidth="true" hidden="false" outlineLevel="0" max="2" min="2" style="1" width="16"/>
    <col collapsed="false" customWidth="true" hidden="false" outlineLevel="0" max="3" min="3" style="1" width="44"/>
    <col collapsed="false" customWidth="true" hidden="false" outlineLevel="0" max="4" min="4" style="1" width="3"/>
    <col collapsed="false" customWidth="true" hidden="false" outlineLevel="0" max="5" min="5" style="1" width="28"/>
    <col collapsed="false" customWidth="true" hidden="false" outlineLevel="0" max="6" min="6" style="1" width="16"/>
    <col collapsed="false" customWidth="true" hidden="false" outlineLevel="0" max="7" min="7" style="1" width="44"/>
  </cols>
  <sheetData>
    <row r="1" customFormat="false" ht="25.5" hidden="false" customHeight="true" outlineLevel="0" collapsed="false">
      <c r="A1" s="2" t="s">
        <v>0</v>
      </c>
      <c r="B1" s="2"/>
      <c r="C1" s="2"/>
      <c r="D1" s="2"/>
      <c r="E1" s="2"/>
      <c r="F1" s="2"/>
      <c r="G1" s="2"/>
    </row>
    <row r="2" customFormat="false" ht="12.75" hidden="false" customHeight="true" outlineLevel="0" collapsed="false">
      <c r="A2" s="3" t="s">
        <v>1</v>
      </c>
      <c r="B2" s="3" t="s">
        <v>2</v>
      </c>
      <c r="C2" s="4" t="s">
        <v>3</v>
      </c>
      <c r="D2" s="5"/>
      <c r="E2" s="3" t="s">
        <v>4</v>
      </c>
      <c r="F2" s="3" t="s">
        <v>2</v>
      </c>
      <c r="G2" s="4" t="s">
        <v>5</v>
      </c>
    </row>
    <row r="3" customFormat="false" ht="15" hidden="false" customHeight="true" outlineLevel="0" collapsed="false">
      <c r="A3" s="6" t="s">
        <v>6</v>
      </c>
      <c r="B3" s="6"/>
      <c r="C3" s="6"/>
      <c r="D3" s="7"/>
      <c r="E3" s="8" t="s">
        <v>7</v>
      </c>
      <c r="F3" s="8"/>
      <c r="G3" s="8"/>
    </row>
    <row r="4" customFormat="false" ht="16.5" hidden="false" customHeight="true" outlineLevel="0" collapsed="false">
      <c r="A4" s="9" t="s">
        <v>8</v>
      </c>
      <c r="B4" s="10" t="n">
        <v>100</v>
      </c>
      <c r="C4" s="11" t="s">
        <v>9</v>
      </c>
      <c r="D4" s="7"/>
      <c r="E4" s="9" t="s">
        <v>10</v>
      </c>
      <c r="F4" s="12" t="n">
        <f aca="false">parametros_livro!B6*12</f>
        <v>198</v>
      </c>
      <c r="G4" s="11" t="s">
        <v>11</v>
      </c>
    </row>
    <row r="5" customFormat="false" ht="16.5" hidden="false" customHeight="true" outlineLevel="0" collapsed="false">
      <c r="A5" s="9" t="s">
        <v>12</v>
      </c>
      <c r="B5" s="13" t="n">
        <v>700</v>
      </c>
      <c r="C5" s="11" t="s">
        <v>13</v>
      </c>
      <c r="D5" s="7"/>
      <c r="E5" s="9" t="s">
        <v>14</v>
      </c>
      <c r="F5" s="14" t="n">
        <v>420</v>
      </c>
      <c r="G5" s="11" t="s">
        <v>15</v>
      </c>
    </row>
    <row r="6" customFormat="false" ht="16.5" hidden="false" customHeight="true" outlineLevel="0" collapsed="false">
      <c r="A6" s="9" t="s">
        <v>16</v>
      </c>
      <c r="B6" s="10" t="n">
        <v>2</v>
      </c>
      <c r="C6" s="11" t="s">
        <v>17</v>
      </c>
      <c r="D6" s="7"/>
      <c r="E6" s="9" t="s">
        <v>18</v>
      </c>
      <c r="F6" s="14" t="n">
        <v>280</v>
      </c>
      <c r="G6" s="11" t="s">
        <v>19</v>
      </c>
    </row>
    <row r="7" customFormat="false" ht="16.5" hidden="false" customHeight="true" outlineLevel="0" collapsed="false">
      <c r="A7" s="9" t="s">
        <v>20</v>
      </c>
      <c r="B7" s="15" t="s">
        <v>21</v>
      </c>
      <c r="C7" s="11" t="s">
        <v>22</v>
      </c>
      <c r="D7" s="7"/>
      <c r="E7" s="9" t="s">
        <v>23</v>
      </c>
      <c r="F7" s="16" t="n">
        <v>1</v>
      </c>
      <c r="G7" s="11" t="s">
        <v>24</v>
      </c>
    </row>
    <row r="8" customFormat="false" ht="16.5" hidden="false" customHeight="true" outlineLevel="0" collapsed="false">
      <c r="A8" s="9" t="s">
        <v>25</v>
      </c>
      <c r="B8" s="15" t="s">
        <v>26</v>
      </c>
      <c r="C8" s="11" t="s">
        <v>27</v>
      </c>
      <c r="D8" s="7"/>
      <c r="E8" s="9" t="s">
        <v>28</v>
      </c>
      <c r="F8" s="16" t="n">
        <v>800</v>
      </c>
      <c r="G8" s="11" t="s">
        <v>29</v>
      </c>
    </row>
    <row r="9" customFormat="false" ht="16.5" hidden="false" customHeight="true" outlineLevel="0" collapsed="false">
      <c r="A9" s="9" t="s">
        <v>30</v>
      </c>
      <c r="B9" s="17" t="n">
        <v>0</v>
      </c>
      <c r="C9" s="11" t="s">
        <v>31</v>
      </c>
      <c r="D9" s="7"/>
      <c r="E9" s="9" t="s">
        <v>32</v>
      </c>
      <c r="F9" s="14" t="n">
        <v>1500</v>
      </c>
      <c r="G9" s="11" t="s">
        <v>33</v>
      </c>
    </row>
    <row r="10" customFormat="false" ht="16.5" hidden="false" customHeight="true" outlineLevel="0" collapsed="false">
      <c r="A10" s="9" t="s">
        <v>34</v>
      </c>
      <c r="B10" s="10" t="n">
        <v>4</v>
      </c>
      <c r="C10" s="11" t="s">
        <v>35</v>
      </c>
      <c r="D10" s="7"/>
      <c r="E10" s="9" t="s">
        <v>36</v>
      </c>
      <c r="F10" s="18" t="s">
        <v>37</v>
      </c>
      <c r="G10" s="11" t="s">
        <v>38</v>
      </c>
    </row>
    <row r="11" customFormat="false" ht="6" hidden="false" customHeight="true" outlineLevel="0" collapsed="false"/>
    <row r="12" customFormat="false" ht="15" hidden="false" customHeight="true" outlineLevel="0" collapsed="false">
      <c r="A12" s="6" t="s">
        <v>39</v>
      </c>
      <c r="B12" s="6"/>
      <c r="C12" s="6"/>
      <c r="D12" s="7"/>
      <c r="E12" s="8" t="s">
        <v>40</v>
      </c>
      <c r="F12" s="8"/>
      <c r="G12" s="8"/>
    </row>
    <row r="13" customFormat="false" ht="12.75" hidden="false" customHeight="true" outlineLevel="0" collapsed="false">
      <c r="A13" s="19" t="s">
        <v>41</v>
      </c>
      <c r="B13" s="19" t="s">
        <v>42</v>
      </c>
      <c r="C13" s="20" t="s">
        <v>3</v>
      </c>
      <c r="D13" s="5"/>
      <c r="E13" s="19" t="s">
        <v>4</v>
      </c>
      <c r="F13" s="19" t="s">
        <v>43</v>
      </c>
      <c r="G13" s="20" t="s">
        <v>5</v>
      </c>
    </row>
    <row r="14" customFormat="false" ht="16.5" hidden="false" customHeight="true" outlineLevel="0" collapsed="false">
      <c r="A14" s="9" t="s">
        <v>44</v>
      </c>
      <c r="B14" s="21" t="n">
        <f aca="false">MAX(0,1-(B4-F7)/(F8-F7))</f>
        <v>0.876095118898623</v>
      </c>
      <c r="C14" s="11" t="str">
        <f aca="false">"1−("&amp;B4&amp;"−1)÷799="&amp;TEXT(B14,"0.000")&amp;" — menor escola→teto"</f>
        <v>1−(100−1)÷799=0.876 — menor escola→teto</v>
      </c>
      <c r="D14" s="7"/>
      <c r="E14" s="9" t="s">
        <v>44</v>
      </c>
      <c r="F14" s="22" t="n">
        <v>0.35</v>
      </c>
      <c r="G14" s="11" t="s">
        <v>45</v>
      </c>
    </row>
    <row r="15" customFormat="false" ht="16.5" hidden="false" customHeight="true" outlineLevel="0" collapsed="false">
      <c r="A15" s="9" t="s">
        <v>46</v>
      </c>
      <c r="B15" s="21" t="n">
        <f aca="false">MIN(1,B5/F9)</f>
        <v>0.466666666666667</v>
      </c>
      <c r="C15" s="11" t="str">
        <f aca="false">"MIN(1;R$"&amp;TEXT(B5,"#,##0")&amp;"÷R$1.500)="&amp;TEXT(B15,"0.000")</f>
        <v>MIN(1;R$700÷R$1.500)=0.467</v>
      </c>
      <c r="D15" s="7"/>
      <c r="E15" s="9" t="s">
        <v>46</v>
      </c>
      <c r="F15" s="22" t="n">
        <v>0.3</v>
      </c>
      <c r="G15" s="11" t="s">
        <v>47</v>
      </c>
    </row>
    <row r="16" customFormat="false" ht="16.5" hidden="false" customHeight="true" outlineLevel="0" collapsed="false">
      <c r="A16" s="9" t="s">
        <v>48</v>
      </c>
      <c r="B16" s="21" t="n">
        <f aca="false">IF(OR(B6=3,UPPER(B7)="SIM"),1,IF(B6=2,0.5,0))</f>
        <v>0.5</v>
      </c>
      <c r="C16" s="11" t="str">
        <f aca="false">IF(OR(B6=3,UPPER(B7)="SIM"),"3seg→1,000",IF(B6=2,"2seg→0,500","1seg→0,000"))</f>
        <v>2seg→0,500</v>
      </c>
      <c r="D16" s="7"/>
      <c r="E16" s="9" t="s">
        <v>48</v>
      </c>
      <c r="F16" s="22" t="n">
        <v>0.2</v>
      </c>
      <c r="G16" s="11" t="s">
        <v>49</v>
      </c>
    </row>
    <row r="17" customFormat="false" ht="16.5" hidden="false" customHeight="true" outlineLevel="0" collapsed="false">
      <c r="A17" s="9" t="s">
        <v>50</v>
      </c>
      <c r="B17" s="21" t="n">
        <f aca="false">IF(B8="Renovação 2º ciclo+",0.4,IF(B8="Renovação 1º ciclo",0.7,1))</f>
        <v>1</v>
      </c>
      <c r="C17" s="11" t="str">
        <f aca="false">IF(B8="Renovação 2º ciclo+","2º→0,400",IF(B8="Renovação 1º ciclo","1º→0,700","Novo→1,000"))</f>
        <v>Novo→1,000</v>
      </c>
      <c r="D17" s="7"/>
      <c r="E17" s="9" t="s">
        <v>50</v>
      </c>
      <c r="F17" s="22" t="n">
        <v>0.15</v>
      </c>
      <c r="G17" s="11" t="s">
        <v>51</v>
      </c>
    </row>
    <row r="18" customFormat="false" ht="19.5" hidden="false" customHeight="true" outlineLevel="0" collapsed="false">
      <c r="A18" s="23" t="s">
        <v>52</v>
      </c>
      <c r="B18" s="24" t="n">
        <f aca="false">0.35*B14+0.3*B15+0.2*B16+0.15*B17</f>
        <v>0.696633291614518</v>
      </c>
      <c r="C18" s="25" t="str">
        <f aca="false">"35%×"&amp;TEXT(B14,"0.000")&amp;"+30%×"&amp;TEXT(B15,"0.000")&amp;"+20%×"&amp;TEXT(B16,"0.000")&amp;"+15%×"&amp;TEXT(B17,"0.000")&amp;"="&amp;TEXT(B18,"0.000")</f>
        <v>35%×0.876+30%×0.467+20%×0.500+15%×1.000=0.697</v>
      </c>
      <c r="D18" s="7"/>
      <c r="E18" s="23" t="s">
        <v>53</v>
      </c>
      <c r="F18" s="26" t="n">
        <v>1</v>
      </c>
      <c r="G18" s="25" t="s">
        <v>54</v>
      </c>
    </row>
    <row r="19" customFormat="false" ht="6" hidden="false" customHeight="true" outlineLevel="0" collapsed="false"/>
    <row r="20" customFormat="false" ht="15" hidden="false" customHeight="true" outlineLevel="0" collapsed="false">
      <c r="A20" s="27" t="s">
        <v>55</v>
      </c>
      <c r="B20" s="27"/>
      <c r="C20" s="27"/>
      <c r="D20" s="27"/>
      <c r="E20" s="27"/>
      <c r="F20" s="27"/>
      <c r="G20" s="27"/>
    </row>
    <row r="21" customFormat="false" ht="12.75" hidden="false" customHeight="true" outlineLevel="0" collapsed="false">
      <c r="A21" s="19" t="s">
        <v>56</v>
      </c>
      <c r="B21" s="19" t="s">
        <v>2</v>
      </c>
      <c r="C21" s="20" t="s">
        <v>3</v>
      </c>
      <c r="D21" s="5"/>
      <c r="E21" s="19" t="s">
        <v>57</v>
      </c>
      <c r="F21" s="19" t="s">
        <v>2</v>
      </c>
      <c r="G21" s="20" t="s">
        <v>3</v>
      </c>
    </row>
    <row r="22" customFormat="false" ht="16.5" hidden="false" customHeight="true" outlineLevel="0" collapsed="false">
      <c r="A22" s="9" t="s">
        <v>58</v>
      </c>
      <c r="B22" s="28" t="n">
        <f aca="false">280+140*B18</f>
        <v>377.528660826033</v>
      </c>
      <c r="C22" s="11" t="str">
        <f aca="false">"R$280+R$140×"&amp;TEXT(B18,"0.000")&amp;"=R$"&amp;TEXT(B22,"#,##0.00")&amp;"/aluno/ano"</f>
        <v>R$280+R$140×0.697=R$377.53/aluno/ano</v>
      </c>
      <c r="D22" s="7"/>
      <c r="E22" s="9" t="s">
        <v>59</v>
      </c>
      <c r="F22" s="29" t="n">
        <f aca="false">420-280</f>
        <v>140</v>
      </c>
      <c r="G22" s="11" t="s">
        <v>60</v>
      </c>
    </row>
    <row r="23" customFormat="false" ht="16.5" hidden="false" customHeight="true" outlineLevel="0" collapsed="false">
      <c r="A23" s="9" t="s">
        <v>61</v>
      </c>
      <c r="B23" s="28" t="n">
        <f aca="false">B22*(1-B9)</f>
        <v>377.528660826033</v>
      </c>
      <c r="C23" s="11" t="str">
        <f aca="false">"R$"&amp;TEXT(B22,"#,##0.00")&amp;"×(1−"&amp;TEXT(B9,"0%")&amp;")=R$"&amp;TEXT(B22*(1-B9),"#,##0.00")</f>
        <v>R$377.53×(1−0%)=R$377.53</v>
      </c>
      <c r="D23" s="7"/>
      <c r="E23" s="9" t="s">
        <v>62</v>
      </c>
      <c r="F23" s="30" t="str">
        <f aca="false">IF(B9=0,"Sem desconto",IF(B9&lt;=0.05,"Comercial",IF(B9&lt;=0.1,"Renato","Dênis")))</f>
        <v>Sem desconto</v>
      </c>
      <c r="G23" s="11" t="s">
        <v>63</v>
      </c>
    </row>
    <row r="24" customFormat="false" ht="16.5" hidden="false" customHeight="true" outlineLevel="0" collapsed="false">
      <c r="A24" s="9" t="s">
        <v>64</v>
      </c>
      <c r="B24" s="28" t="n">
        <f aca="false">MAX(280,B23)</f>
        <v>377.528660826033</v>
      </c>
      <c r="C24" s="11" t="str">
        <f aca="false">"MAX(R$280;R$"&amp;TEXT(B23,"#,##0.00")&amp;")=R$"&amp;TEXT(MAX(280,B23),"#,##0.00")</f>
        <v>MAX(R$280;R$377.53)=R$377.53</v>
      </c>
      <c r="D24" s="7"/>
      <c r="E24" s="9" t="s">
        <v>65</v>
      </c>
      <c r="F24" s="30" t="str">
        <f aca="false">IF(B23&lt;280,"🔴 Fura o piso","🟢 VÁLIDO")</f>
        <v>🟢 VÁLIDO</v>
      </c>
      <c r="G24" s="11" t="s">
        <v>66</v>
      </c>
    </row>
    <row r="25" customFormat="false" ht="21.75" hidden="false" customHeight="true" outlineLevel="0" collapsed="false">
      <c r="A25" s="31" t="s">
        <v>67</v>
      </c>
      <c r="B25" s="32" t="n">
        <f aca="false">B24</f>
        <v>377.528660826033</v>
      </c>
      <c r="C25" s="33" t="str">
        <f aca="false">"R$"&amp;TEXT(B25,"#,##0.00")&amp;"/aluno×"&amp;B4&amp;"al.=R$"&amp;TEXT(B25*B4,"#,##0.00")&amp;"/ano"</f>
        <v>R$377.53/aluno×100al.=R$37,752.87/ano</v>
      </c>
      <c r="D25" s="7"/>
      <c r="E25" s="23" t="s">
        <v>68</v>
      </c>
      <c r="F25" s="32" t="n">
        <f aca="false">B25*B4</f>
        <v>37752.8660826033</v>
      </c>
      <c r="G25" s="33" t="str">
        <f aca="false">"Parcela mensal currículo: R$"&amp;TEXT(B25*B4/12,"#,##0.00")&amp;"/mês"</f>
        <v>Parcela mensal currículo: R$3,146.07/mês</v>
      </c>
    </row>
    <row r="26" customFormat="false" ht="6" hidden="false" customHeight="true" outlineLevel="0" collapsed="false"/>
    <row r="27" customFormat="false" ht="15" hidden="false" customHeight="true" outlineLevel="0" collapsed="false">
      <c r="A27" s="27" t="s">
        <v>69</v>
      </c>
      <c r="B27" s="27"/>
      <c r="C27" s="27"/>
      <c r="D27" s="27"/>
      <c r="E27" s="27"/>
      <c r="F27" s="27"/>
      <c r="G27" s="27"/>
    </row>
    <row r="28" customFormat="false" ht="12.75" hidden="false" customHeight="true" outlineLevel="0" collapsed="false">
      <c r="A28" s="19" t="s">
        <v>70</v>
      </c>
      <c r="B28" s="19" t="s">
        <v>2</v>
      </c>
      <c r="C28" s="20" t="s">
        <v>3</v>
      </c>
      <c r="D28" s="5"/>
      <c r="E28" s="19" t="s">
        <v>70</v>
      </c>
      <c r="F28" s="19" t="s">
        <v>2</v>
      </c>
      <c r="G28" s="20" t="s">
        <v>3</v>
      </c>
    </row>
    <row r="29" customFormat="false" ht="16.5" hidden="false" customHeight="true" outlineLevel="0" collapsed="false">
      <c r="A29" s="9" t="s">
        <v>71</v>
      </c>
      <c r="B29" s="34" t="n">
        <f aca="false">B25*B4</f>
        <v>37752.8660826033</v>
      </c>
      <c r="C29" s="11" t="str">
        <f aca="false">"R$"&amp;TEXT(B25,"#,##0.00")&amp;"×"&amp;B4&amp;"al.=R$"&amp;TEXT(B25*B4,"#,##0.00")</f>
        <v>R$377.53×100al.=R$37,752.87</v>
      </c>
      <c r="D29" s="7"/>
      <c r="E29" s="9" t="s">
        <v>72</v>
      </c>
      <c r="F29" s="34" t="n">
        <f aca="false">B29/12</f>
        <v>3146.07217355027</v>
      </c>
      <c r="G29" s="11" t="str">
        <f aca="false">"R$"&amp;TEXT(B29,"#,##0.00")&amp;"÷12=R$"&amp;TEXT(B29/12,"#,##0.00")&amp;"/mês"</f>
        <v>R$37,752.87÷12=R$3,146.07/mês</v>
      </c>
    </row>
    <row r="30" customFormat="false" ht="16.5" hidden="false" customHeight="true" outlineLevel="0" collapsed="false">
      <c r="A30" s="9" t="s">
        <v>73</v>
      </c>
      <c r="B30" s="34" t="n">
        <f aca="false">B29*0.7</f>
        <v>26427.0062578223</v>
      </c>
      <c r="C30" s="11" t="str">
        <f aca="false">"R$"&amp;TEXT(B29,"#,##0.00")&amp;"×70%=R$"&amp;TEXT(B29*0.7,"#,##0.00")&amp;" (inclui livro+operação)"</f>
        <v>R$37,752.87×70%=R$26,427.01 (inclui livro+operação)</v>
      </c>
      <c r="D30" s="7"/>
      <c r="E30" s="9" t="s">
        <v>74</v>
      </c>
      <c r="F30" s="34" t="n">
        <f aca="false">B29*0.3</f>
        <v>11325.859824781</v>
      </c>
      <c r="G30" s="11" t="str">
        <f aca="false">"R$"&amp;TEXT(B29,"#,##0.00")&amp;"×30%=R$"&amp;TEXT(B29*0.3,"#,##0.00")</f>
        <v>R$37,752.87×30%=R$11,325.86</v>
      </c>
    </row>
    <row r="31" customFormat="false" ht="6" hidden="false" customHeight="true" outlineLevel="0" collapsed="false"/>
    <row r="32" customFormat="false" ht="27.75" hidden="false" customHeight="true" outlineLevel="0" collapsed="false">
      <c r="A32" s="35" t="s">
        <v>75</v>
      </c>
      <c r="B32" s="35"/>
      <c r="C32" s="35"/>
      <c r="D32" s="35"/>
      <c r="E32" s="35"/>
      <c r="F32" s="35"/>
      <c r="G32" s="35"/>
    </row>
  </sheetData>
  <mergeCells count="8">
    <mergeCell ref="A1:G1"/>
    <mergeCell ref="A3:C3"/>
    <mergeCell ref="E3:G3"/>
    <mergeCell ref="A12:C12"/>
    <mergeCell ref="E12:G12"/>
    <mergeCell ref="A20:G20"/>
    <mergeCell ref="A27:G27"/>
    <mergeCell ref="A32:G32"/>
  </mergeCells>
  <dataValidations count="4">
    <dataValidation allowBlank="false" errorStyle="stop" operator="between" showDropDown="false" showErrorMessage="false" showInputMessage="false" sqref="B6" type="list">
      <formula1>"1,2,3"</formula1>
      <formula2>0</formula2>
    </dataValidation>
    <dataValidation allowBlank="false" errorStyle="stop" operator="between" showDropDown="false" showErrorMessage="false" showInputMessage="false" sqref="B7" type="list">
      <formula1>"SIM,NÃO"</formula1>
      <formula2>0</formula2>
    </dataValidation>
    <dataValidation allowBlank="false" errorStyle="stop" operator="between" showDropDown="false" showErrorMessage="false" showInputMessage="false" sqref="B8" type="list">
      <formula1>"Novo,Renovação 1º ciclo,Renovação 2º ciclo+"</formula1>
      <formula2>0</formula2>
    </dataValidation>
    <dataValidation allowBlank="false" errorStyle="stop" operator="between" showDropDown="false" showErrorMessage="false" showInputMessage="false" sqref="B10" type="whole">
      <formula1>4</formula1>
      <formula2>12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36"/>
    <col collapsed="false" customWidth="true" hidden="false" outlineLevel="0" max="2" min="2" style="1" width="7"/>
    <col collapsed="false" customWidth="true" hidden="false" outlineLevel="0" max="4" min="3" style="1" width="14"/>
    <col collapsed="false" customWidth="true" hidden="false" outlineLevel="0" max="5" min="5" style="1" width="3"/>
    <col collapsed="false" customWidth="true" hidden="false" outlineLevel="0" max="6" min="6" style="1" width="30"/>
    <col collapsed="false" customWidth="true" hidden="false" outlineLevel="0" max="7" min="7" style="1" width="16"/>
    <col collapsed="false" customWidth="true" hidden="false" outlineLevel="0" max="8" min="8" style="1" width="3"/>
    <col collapsed="false" customWidth="true" hidden="false" outlineLevel="0" max="9" min="9" style="1" width="26"/>
    <col collapsed="false" customWidth="true" hidden="false" outlineLevel="0" max="10" min="10" style="1" width="16"/>
    <col collapsed="false" customWidth="true" hidden="false" outlineLevel="0" max="11" min="11" style="1" width="42"/>
  </cols>
  <sheetData>
    <row r="1" customFormat="false" ht="25.5" hidden="false" customHeight="true" outlineLevel="0" collapsed="false">
      <c r="A1" s="2" t="s">
        <v>76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customFormat="false" ht="12.75" hidden="false" customHeight="true" outlineLevel="0" collapsed="false">
      <c r="A2" s="36" t="s">
        <v>77</v>
      </c>
      <c r="B2" s="36" t="s">
        <v>78</v>
      </c>
      <c r="C2" s="36" t="s">
        <v>79</v>
      </c>
      <c r="D2" s="36" t="s">
        <v>80</v>
      </c>
      <c r="F2" s="37" t="s">
        <v>4</v>
      </c>
      <c r="G2" s="38" t="n">
        <f aca="false">J3</f>
        <v>5</v>
      </c>
      <c r="H2" s="39"/>
      <c r="I2" s="39"/>
      <c r="J2" s="37" t="s">
        <v>2</v>
      </c>
      <c r="K2" s="37" t="s">
        <v>81</v>
      </c>
    </row>
    <row r="3" customFormat="false" ht="16.5" hidden="false" customHeight="true" outlineLevel="0" collapsed="false">
      <c r="A3" s="40" t="s">
        <v>82</v>
      </c>
      <c r="B3" s="41" t="n">
        <v>1</v>
      </c>
      <c r="C3" s="42" t="n">
        <v>4280</v>
      </c>
      <c r="D3" s="43" t="n">
        <f aca="false">B3*C3</f>
        <v>4280</v>
      </c>
      <c r="F3" s="9" t="s">
        <v>83</v>
      </c>
      <c r="G3" s="38" t="n">
        <f aca="false">J9</f>
        <v>100</v>
      </c>
      <c r="H3" s="39"/>
      <c r="I3" s="39"/>
      <c r="J3" s="44" t="n">
        <v>5</v>
      </c>
      <c r="K3" s="11" t="s">
        <v>84</v>
      </c>
    </row>
    <row r="4" customFormat="false" ht="16.5" hidden="false" customHeight="true" outlineLevel="0" collapsed="false">
      <c r="A4" s="45" t="s">
        <v>85</v>
      </c>
      <c r="B4" s="46" t="n">
        <v>1</v>
      </c>
      <c r="C4" s="42" t="n">
        <v>237.4</v>
      </c>
      <c r="D4" s="47" t="n">
        <f aca="false">B4*C4</f>
        <v>237.4</v>
      </c>
      <c r="F4" s="9" t="s">
        <v>86</v>
      </c>
      <c r="G4" s="39"/>
      <c r="H4" s="39"/>
      <c r="I4" s="39"/>
      <c r="J4" s="48" t="n">
        <f aca="false">J3*12</f>
        <v>60</v>
      </c>
      <c r="K4" s="11" t="s">
        <v>87</v>
      </c>
    </row>
    <row r="5" customFormat="false" ht="16.5" hidden="false" customHeight="true" outlineLevel="0" collapsed="false">
      <c r="A5" s="40" t="s">
        <v>88</v>
      </c>
      <c r="B5" s="41" t="n">
        <v>1</v>
      </c>
      <c r="C5" s="42" t="n">
        <v>1061.53</v>
      </c>
      <c r="D5" s="43" t="n">
        <f aca="false">B5*C5</f>
        <v>1061.53</v>
      </c>
      <c r="F5" s="9" t="s">
        <v>89</v>
      </c>
      <c r="G5" s="39" t="n">
        <f aca="false">J12</f>
        <v>10</v>
      </c>
      <c r="H5" s="39"/>
      <c r="I5" s="39"/>
      <c r="J5" s="44" t="n">
        <v>48</v>
      </c>
      <c r="K5" s="11" t="s">
        <v>90</v>
      </c>
    </row>
    <row r="6" customFormat="false" ht="16.5" hidden="false" customHeight="true" outlineLevel="0" collapsed="false">
      <c r="A6" s="45" t="s">
        <v>91</v>
      </c>
      <c r="B6" s="46" t="n">
        <v>1</v>
      </c>
      <c r="C6" s="42" t="n">
        <v>430.76</v>
      </c>
      <c r="D6" s="47" t="n">
        <f aca="false">B6*C6</f>
        <v>430.76</v>
      </c>
      <c r="F6" s="9" t="s">
        <v>92</v>
      </c>
      <c r="G6" s="38" t="n">
        <f aca="false">J6</f>
        <v>48</v>
      </c>
      <c r="H6" s="39"/>
      <c r="I6" s="39"/>
      <c r="J6" s="48" t="n">
        <f aca="false">J5</f>
        <v>48</v>
      </c>
      <c r="K6" s="11" t="s">
        <v>93</v>
      </c>
    </row>
    <row r="7" customFormat="false" ht="16.5" hidden="false" customHeight="true" outlineLevel="0" collapsed="false">
      <c r="A7" s="40" t="s">
        <v>94</v>
      </c>
      <c r="B7" s="41" t="n">
        <v>1</v>
      </c>
      <c r="C7" s="42" t="n">
        <v>157.98</v>
      </c>
      <c r="D7" s="43" t="n">
        <f aca="false">B7*C7</f>
        <v>157.98</v>
      </c>
      <c r="F7" s="49" t="s">
        <v>95</v>
      </c>
      <c r="G7" s="39"/>
      <c r="H7" s="39"/>
      <c r="I7" s="39"/>
      <c r="J7" s="50" t="n">
        <v>2.2</v>
      </c>
      <c r="K7" s="11" t="s">
        <v>96</v>
      </c>
    </row>
    <row r="8" customFormat="false" ht="16.5" hidden="false" customHeight="true" outlineLevel="0" collapsed="false">
      <c r="A8" s="45" t="s">
        <v>97</v>
      </c>
      <c r="B8" s="46" t="n">
        <v>1</v>
      </c>
      <c r="C8" s="42" t="n">
        <v>1983.82</v>
      </c>
      <c r="D8" s="47" t="n">
        <f aca="false">B8*C8</f>
        <v>1983.82</v>
      </c>
      <c r="F8" s="49" t="s">
        <v>98</v>
      </c>
      <c r="G8" s="39"/>
      <c r="H8" s="39"/>
      <c r="I8" s="39"/>
      <c r="J8" s="51" t="n">
        <v>5.5</v>
      </c>
      <c r="K8" s="11" t="s">
        <v>99</v>
      </c>
    </row>
    <row r="9" customFormat="false" ht="16.5" hidden="false" customHeight="true" outlineLevel="0" collapsed="false">
      <c r="A9" s="40" t="s">
        <v>100</v>
      </c>
      <c r="B9" s="52" t="n">
        <f aca="false">ROUNDUP(G5,0)</f>
        <v>10</v>
      </c>
      <c r="C9" s="42" t="n">
        <v>4000</v>
      </c>
      <c r="D9" s="43" t="n">
        <f aca="false">B9*C9</f>
        <v>40000</v>
      </c>
      <c r="F9" s="9" t="s">
        <v>101</v>
      </c>
      <c r="G9" s="39"/>
      <c r="H9" s="39"/>
      <c r="I9" s="39"/>
      <c r="J9" s="48" t="n">
        <f aca="false">Calculadora_v3!B4</f>
        <v>100</v>
      </c>
      <c r="K9" s="11" t="s">
        <v>102</v>
      </c>
    </row>
    <row r="10" customFormat="false" ht="16.5" hidden="false" customHeight="true" outlineLevel="0" collapsed="false">
      <c r="A10" s="45" t="s">
        <v>103</v>
      </c>
      <c r="B10" s="46" t="n">
        <v>1</v>
      </c>
      <c r="C10" s="42" t="n">
        <v>3800</v>
      </c>
      <c r="D10" s="47" t="n">
        <f aca="false">B10*C10</f>
        <v>3800</v>
      </c>
      <c r="F10" s="9" t="s">
        <v>104</v>
      </c>
      <c r="G10" s="39"/>
      <c r="H10" s="39"/>
      <c r="I10" s="39"/>
      <c r="J10" s="53" t="n">
        <f aca="false">Calculadora_v3!B29</f>
        <v>37752.8660826033</v>
      </c>
      <c r="K10" s="11" t="s">
        <v>105</v>
      </c>
    </row>
    <row r="11" customFormat="false" ht="15.75" hidden="false" customHeight="true" outlineLevel="0" collapsed="false">
      <c r="A11" s="40" t="s">
        <v>106</v>
      </c>
      <c r="B11" s="41" t="n">
        <v>1</v>
      </c>
      <c r="C11" s="42" t="n">
        <v>119.7</v>
      </c>
      <c r="D11" s="43" t="n">
        <f aca="false">B11*C11</f>
        <v>119.7</v>
      </c>
      <c r="F11" s="9" t="s">
        <v>107</v>
      </c>
      <c r="G11" s="39"/>
      <c r="H11" s="39"/>
      <c r="I11" s="39"/>
      <c r="J11" s="54" t="n">
        <v>20</v>
      </c>
      <c r="K11" s="11" t="s">
        <v>108</v>
      </c>
    </row>
    <row r="12" customFormat="false" ht="15.75" hidden="false" customHeight="true" outlineLevel="0" collapsed="false">
      <c r="A12" s="45" t="s">
        <v>109</v>
      </c>
      <c r="B12" s="52" t="n">
        <f aca="false">B9</f>
        <v>10</v>
      </c>
      <c r="C12" s="42" t="n">
        <v>2700</v>
      </c>
      <c r="D12" s="47" t="n">
        <f aca="false">B12*C12</f>
        <v>27000</v>
      </c>
      <c r="F12" s="9" t="s">
        <v>110</v>
      </c>
      <c r="G12" s="39"/>
      <c r="H12" s="39"/>
      <c r="I12" s="39"/>
      <c r="J12" s="55" t="n">
        <f aca="false">ROUNDUP(J11/2,0)</f>
        <v>10</v>
      </c>
      <c r="K12" s="11" t="s">
        <v>111</v>
      </c>
    </row>
    <row r="13" customFormat="false" ht="12.75" hidden="false" customHeight="true" outlineLevel="0" collapsed="false">
      <c r="A13" s="56" t="s">
        <v>112</v>
      </c>
      <c r="B13" s="57" t="n">
        <v>1</v>
      </c>
      <c r="C13" s="58" t="n">
        <f aca="false">(IF(G6=12,0.1,IF(G6=24,0.15,IF(G6=36,0.2,0.25)))*SUM(C3:C12))*G2</f>
        <v>23463.9875</v>
      </c>
      <c r="D13" s="58" t="n">
        <f aca="false">B13*C13</f>
        <v>23463.9875</v>
      </c>
      <c r="F13" s="59" t="s">
        <v>113</v>
      </c>
      <c r="G13" s="59"/>
      <c r="H13" s="59"/>
      <c r="I13" s="59"/>
      <c r="J13" s="59"/>
      <c r="K13" s="59"/>
    </row>
    <row r="14" customFormat="false" ht="12.75" hidden="false" customHeight="true" outlineLevel="0" collapsed="false">
      <c r="A14" s="56" t="s">
        <v>114</v>
      </c>
      <c r="B14" s="57" t="n">
        <v>1</v>
      </c>
      <c r="C14" s="58" t="n">
        <f aca="false">(IF(G6=12,0.1,IF(G6=24,0.15,IF(G6=36,0.2,0.25)))*SUM(C3:C12))*G2</f>
        <v>23463.9875</v>
      </c>
      <c r="D14" s="58" t="n">
        <f aca="false">B14*C14</f>
        <v>23463.9875</v>
      </c>
      <c r="F14" s="60" t="s">
        <v>115</v>
      </c>
      <c r="G14" s="60" t="s">
        <v>116</v>
      </c>
      <c r="H14" s="60" t="s">
        <v>117</v>
      </c>
      <c r="I14" s="60" t="s">
        <v>118</v>
      </c>
      <c r="J14" s="60" t="s">
        <v>119</v>
      </c>
      <c r="K14" s="60" t="s">
        <v>120</v>
      </c>
    </row>
    <row r="15" customFormat="false" ht="13.5" hidden="false" customHeight="true" outlineLevel="0" collapsed="false">
      <c r="A15" s="23" t="s">
        <v>121</v>
      </c>
      <c r="B15" s="61"/>
      <c r="C15" s="61"/>
      <c r="D15" s="62" t="n">
        <f aca="false">SUM(D3:D14)</f>
        <v>125999.165</v>
      </c>
      <c r="F15" s="63" t="s">
        <v>122</v>
      </c>
      <c r="G15" s="63" t="s">
        <v>123</v>
      </c>
      <c r="H15" s="63" t="s">
        <v>123</v>
      </c>
      <c r="I15" s="63" t="s">
        <v>124</v>
      </c>
      <c r="J15" s="63" t="s">
        <v>125</v>
      </c>
      <c r="K15" s="63" t="s">
        <v>126</v>
      </c>
    </row>
    <row r="16" customFormat="false" ht="13.5" hidden="false" customHeight="true" outlineLevel="0" collapsed="false">
      <c r="F16" s="64" t="s">
        <v>127</v>
      </c>
      <c r="G16" s="64" t="s">
        <v>128</v>
      </c>
      <c r="H16" s="64" t="s">
        <v>128</v>
      </c>
      <c r="I16" s="64" t="s">
        <v>124</v>
      </c>
      <c r="J16" s="64" t="s">
        <v>129</v>
      </c>
      <c r="K16" s="64" t="s">
        <v>130</v>
      </c>
    </row>
    <row r="17" customFormat="false" ht="13.5" hidden="false" customHeight="true" outlineLevel="0" collapsed="false">
      <c r="F17" s="64" t="s">
        <v>131</v>
      </c>
      <c r="G17" s="64" t="s">
        <v>132</v>
      </c>
      <c r="H17" s="64" t="s">
        <v>132</v>
      </c>
      <c r="I17" s="64" t="s">
        <v>124</v>
      </c>
      <c r="J17" s="64" t="s">
        <v>133</v>
      </c>
      <c r="K17" s="64" t="s">
        <v>134</v>
      </c>
    </row>
    <row r="18" customFormat="false" ht="13.5" hidden="false" customHeight="true" outlineLevel="0" collapsed="false">
      <c r="F18" s="65" t="s">
        <v>135</v>
      </c>
      <c r="G18" s="65" t="s">
        <v>136</v>
      </c>
      <c r="H18" s="65" t="s">
        <v>136</v>
      </c>
      <c r="I18" s="65" t="s">
        <v>124</v>
      </c>
      <c r="J18" s="65" t="s">
        <v>137</v>
      </c>
      <c r="K18" s="65" t="s">
        <v>138</v>
      </c>
    </row>
    <row r="19" customFormat="false" ht="15" hidden="false" customHeight="true" outlineLevel="0" collapsed="false">
      <c r="F19" s="39"/>
      <c r="G19" s="39"/>
      <c r="H19" s="39"/>
      <c r="I19" s="39"/>
      <c r="J19" s="39"/>
      <c r="K19" s="39"/>
    </row>
    <row r="20" customFormat="false" ht="6" hidden="false" customHeight="true" outlineLevel="0" collapsed="false"/>
    <row r="21" customFormat="false" ht="15" hidden="false" customHeight="true" outlineLevel="0" collapsed="false">
      <c r="A21" s="66" t="s">
        <v>139</v>
      </c>
      <c r="B21" s="66"/>
      <c r="C21" s="66"/>
      <c r="D21" s="66"/>
      <c r="E21" s="66"/>
      <c r="F21" s="66"/>
      <c r="G21" s="66"/>
      <c r="H21" s="66"/>
      <c r="I21" s="66"/>
      <c r="J21" s="66"/>
      <c r="K21" s="66"/>
    </row>
    <row r="22" customFormat="false" ht="12.75" hidden="false" customHeight="true" outlineLevel="0" collapsed="false">
      <c r="A22" s="19" t="s">
        <v>57</v>
      </c>
      <c r="B22" s="19" t="s">
        <v>140</v>
      </c>
      <c r="C22" s="19" t="s">
        <v>2</v>
      </c>
      <c r="D22" s="5"/>
      <c r="E22" s="5"/>
      <c r="F22" s="19" t="s">
        <v>141</v>
      </c>
      <c r="G22" s="19" t="s">
        <v>2</v>
      </c>
      <c r="H22" s="67"/>
      <c r="I22" s="19" t="s">
        <v>70</v>
      </c>
      <c r="J22" s="19" t="s">
        <v>2</v>
      </c>
      <c r="K22" s="20" t="s">
        <v>3</v>
      </c>
    </row>
    <row r="23" customFormat="false" ht="18" hidden="false" customHeight="true" outlineLevel="0" collapsed="false">
      <c r="A23" s="9" t="s">
        <v>142</v>
      </c>
      <c r="B23" s="68" t="s">
        <v>143</v>
      </c>
      <c r="C23" s="28" t="n">
        <f aca="false">D15</f>
        <v>125999.165</v>
      </c>
      <c r="D23" s="7"/>
      <c r="E23" s="7"/>
      <c r="F23" s="69" t="s">
        <v>144</v>
      </c>
      <c r="G23" s="70" t="n">
        <f aca="false">D15*(C28/C29)</f>
        <v>4276.75647843334</v>
      </c>
      <c r="H23" s="71"/>
      <c r="I23" s="9" t="s">
        <v>145</v>
      </c>
      <c r="J23" s="72" t="n">
        <f aca="false">D15*(C28/C29)</f>
        <v>4276.75647843334</v>
      </c>
      <c r="K23" s="11" t="s">
        <v>146</v>
      </c>
    </row>
    <row r="24" customFormat="false" ht="18" hidden="false" customHeight="true" outlineLevel="0" collapsed="false">
      <c r="A24" s="9" t="s">
        <v>147</v>
      </c>
      <c r="B24" s="68" t="s">
        <v>148</v>
      </c>
      <c r="C24" s="73" t="n">
        <f aca="false">J7/100</f>
        <v>0.022</v>
      </c>
      <c r="D24" s="7"/>
      <c r="E24" s="7"/>
      <c r="F24" s="40" t="s">
        <v>149</v>
      </c>
      <c r="G24" s="74" t="n">
        <f aca="false">G23*J4</f>
        <v>256605.388706001</v>
      </c>
      <c r="H24" s="71"/>
      <c r="I24" s="9" t="s">
        <v>150</v>
      </c>
      <c r="J24" s="75" t="n">
        <f aca="false">J4</f>
        <v>60</v>
      </c>
      <c r="K24" s="11" t="s">
        <v>151</v>
      </c>
    </row>
    <row r="25" customFormat="false" ht="18" hidden="false" customHeight="true" outlineLevel="0" collapsed="false">
      <c r="A25" s="9" t="s">
        <v>152</v>
      </c>
      <c r="B25" s="68" t="s">
        <v>153</v>
      </c>
      <c r="C25" s="76" t="n">
        <f aca="false">J6</f>
        <v>48</v>
      </c>
      <c r="D25" s="7"/>
      <c r="E25" s="7"/>
      <c r="F25" s="40" t="s">
        <v>154</v>
      </c>
      <c r="G25" s="74" t="n">
        <f aca="false">G24-D15</f>
        <v>130606.223706001</v>
      </c>
      <c r="H25" s="71"/>
      <c r="I25" s="9" t="s">
        <v>155</v>
      </c>
      <c r="J25" s="77" t="n">
        <f aca="false">J4-J6</f>
        <v>12</v>
      </c>
      <c r="K25" s="11" t="s">
        <v>156</v>
      </c>
    </row>
    <row r="26" customFormat="false" ht="18" hidden="false" customHeight="true" outlineLevel="0" collapsed="false">
      <c r="A26" s="9" t="s">
        <v>157</v>
      </c>
      <c r="B26" s="68" t="s">
        <v>158</v>
      </c>
      <c r="C26" s="76" t="n">
        <f aca="false">J4</f>
        <v>60</v>
      </c>
      <c r="D26" s="7"/>
      <c r="E26" s="7"/>
      <c r="F26" s="40" t="s">
        <v>159</v>
      </c>
      <c r="G26" s="78" t="n">
        <f aca="false">IF(D15&gt;0,G25/D15,0)</f>
        <v>1.03656420029451</v>
      </c>
      <c r="H26" s="71"/>
      <c r="I26" s="9" t="s">
        <v>160</v>
      </c>
      <c r="J26" s="79" t="n">
        <f aca="false">(1+J7/100)^12-1</f>
        <v>0.298406705162538</v>
      </c>
      <c r="K26" s="11" t="s">
        <v>161</v>
      </c>
    </row>
    <row r="27" customFormat="false" ht="18" hidden="false" customHeight="true" outlineLevel="0" collapsed="false">
      <c r="A27" s="9" t="s">
        <v>162</v>
      </c>
      <c r="B27" s="68" t="s">
        <v>163</v>
      </c>
      <c r="C27" s="80" t="n">
        <f aca="false">(1+J7/100)^J6</f>
        <v>2.84212384522906</v>
      </c>
      <c r="D27" s="7"/>
      <c r="E27" s="7"/>
      <c r="F27" s="40" t="s">
        <v>164</v>
      </c>
      <c r="G27" s="74" t="n">
        <f aca="false">J10/12</f>
        <v>3146.07217355027</v>
      </c>
      <c r="H27" s="71"/>
      <c r="I27" s="9" t="s">
        <v>165</v>
      </c>
      <c r="J27" s="72" t="n">
        <f aca="false">G23+G27</f>
        <v>7422.82865198362</v>
      </c>
      <c r="K27" s="11" t="s">
        <v>166</v>
      </c>
    </row>
    <row r="28" customFormat="false" ht="15.75" hidden="false" customHeight="true" outlineLevel="0" collapsed="false">
      <c r="A28" s="9" t="s">
        <v>167</v>
      </c>
      <c r="B28" s="68" t="s">
        <v>168</v>
      </c>
      <c r="C28" s="80" t="n">
        <f aca="false">(J7/100)*C27</f>
        <v>0.0625267245950393</v>
      </c>
      <c r="D28" s="7"/>
      <c r="E28" s="7"/>
    </row>
    <row r="29" customFormat="false" ht="15.75" hidden="false" customHeight="true" outlineLevel="0" collapsed="false">
      <c r="A29" s="9" t="s">
        <v>169</v>
      </c>
      <c r="B29" s="68" t="s">
        <v>170</v>
      </c>
      <c r="C29" s="80" t="n">
        <f aca="false">C27-1</f>
        <v>1.84212384522906</v>
      </c>
      <c r="D29" s="7"/>
      <c r="E29" s="7"/>
    </row>
    <row r="30" customFormat="false" ht="6" hidden="false" customHeight="true" outlineLevel="0" collapsed="false"/>
    <row r="31" customFormat="false" ht="15" hidden="false" customHeight="true" outlineLevel="0" collapsed="false">
      <c r="A31" s="27" t="s">
        <v>171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customFormat="false" ht="12.75" hidden="false" customHeight="true" outlineLevel="0" collapsed="false">
      <c r="A32" s="60" t="s">
        <v>172</v>
      </c>
      <c r="B32" s="60" t="s">
        <v>173</v>
      </c>
      <c r="C32" s="60" t="s">
        <v>174</v>
      </c>
      <c r="D32" s="60" t="s">
        <v>175</v>
      </c>
      <c r="E32" s="81"/>
      <c r="F32" s="60" t="s">
        <v>176</v>
      </c>
      <c r="G32" s="60" t="s">
        <v>177</v>
      </c>
      <c r="H32" s="81"/>
      <c r="I32" s="60" t="s">
        <v>178</v>
      </c>
      <c r="J32" s="60" t="s">
        <v>179</v>
      </c>
      <c r="K32" s="60" t="s">
        <v>180</v>
      </c>
    </row>
    <row r="33" customFormat="false" ht="19.5" hidden="false" customHeight="true" outlineLevel="0" collapsed="false">
      <c r="A33" s="82" t="s">
        <v>181</v>
      </c>
      <c r="B33" s="64" t="s">
        <v>182</v>
      </c>
      <c r="C33" s="83" t="n">
        <f aca="false">1</f>
        <v>1</v>
      </c>
      <c r="D33" s="34" t="n">
        <f aca="false">J10/12*C33</f>
        <v>3146.07217355027</v>
      </c>
      <c r="E33" s="71"/>
      <c r="F33" s="28" t="n">
        <f aca="false">G23</f>
        <v>4276.75647843334</v>
      </c>
      <c r="G33" s="70" t="n">
        <f aca="false">D33+F33</f>
        <v>7422.82865198362</v>
      </c>
      <c r="H33" s="71"/>
      <c r="I33" s="28" t="n">
        <f aca="false">D33*12</f>
        <v>37752.8660826033</v>
      </c>
      <c r="J33" s="28" t="n">
        <f aca="false">G23*12</f>
        <v>51321.0777412001</v>
      </c>
      <c r="K33" s="34" t="n">
        <f aca="false">I33+J33</f>
        <v>89073.9438238034</v>
      </c>
    </row>
    <row r="34" customFormat="false" ht="19.5" hidden="false" customHeight="true" outlineLevel="0" collapsed="false">
      <c r="A34" s="84" t="s">
        <v>183</v>
      </c>
      <c r="B34" s="63" t="s">
        <v>184</v>
      </c>
      <c r="C34" s="85" t="n">
        <f aca="false">C33*(1+J8/100)</f>
        <v>1.055</v>
      </c>
      <c r="D34" s="86" t="n">
        <f aca="false">J10/12*C34</f>
        <v>3319.10614309554</v>
      </c>
      <c r="E34" s="71"/>
      <c r="F34" s="87" t="n">
        <f aca="false">G23</f>
        <v>4276.75647843334</v>
      </c>
      <c r="G34" s="70" t="n">
        <f aca="false">D34+F34</f>
        <v>7595.86262152888</v>
      </c>
      <c r="H34" s="71"/>
      <c r="I34" s="87" t="n">
        <f aca="false">D34*12</f>
        <v>39829.2737171464</v>
      </c>
      <c r="J34" s="87" t="n">
        <f aca="false">G23*12</f>
        <v>51321.0777412001</v>
      </c>
      <c r="K34" s="86" t="n">
        <f aca="false">I34+J34</f>
        <v>91150.3514583465</v>
      </c>
    </row>
    <row r="35" customFormat="false" ht="19.5" hidden="false" customHeight="true" outlineLevel="0" collapsed="false">
      <c r="A35" s="82" t="s">
        <v>185</v>
      </c>
      <c r="B35" s="64" t="s">
        <v>186</v>
      </c>
      <c r="C35" s="83" t="n">
        <f aca="false">C34*(1+J8/100)</f>
        <v>1.113025</v>
      </c>
      <c r="D35" s="34" t="n">
        <f aca="false">J10/12*C35</f>
        <v>3501.65698096579</v>
      </c>
      <c r="E35" s="71"/>
      <c r="F35" s="28" t="n">
        <f aca="false">G23</f>
        <v>4276.75647843334</v>
      </c>
      <c r="G35" s="70" t="n">
        <f aca="false">D35+F35</f>
        <v>7778.41345939913</v>
      </c>
      <c r="H35" s="71"/>
      <c r="I35" s="28" t="n">
        <f aca="false">D35*12</f>
        <v>42019.8837715895</v>
      </c>
      <c r="J35" s="28" t="n">
        <f aca="false">G23*12</f>
        <v>51321.0777412001</v>
      </c>
      <c r="K35" s="34" t="n">
        <f aca="false">I35+J35</f>
        <v>93340.9615127896</v>
      </c>
    </row>
    <row r="36" customFormat="false" ht="19.5" hidden="false" customHeight="true" outlineLevel="0" collapsed="false">
      <c r="A36" s="84" t="s">
        <v>187</v>
      </c>
      <c r="B36" s="63" t="s">
        <v>188</v>
      </c>
      <c r="C36" s="85" t="n">
        <f aca="false">C35*(1+J8/100)</f>
        <v>1.174241375</v>
      </c>
      <c r="D36" s="86" t="n">
        <f aca="false">J10/12*C36</f>
        <v>3694.24811491891</v>
      </c>
      <c r="E36" s="71"/>
      <c r="F36" s="87" t="n">
        <f aca="false">G23</f>
        <v>4276.75647843334</v>
      </c>
      <c r="G36" s="70" t="n">
        <f aca="false">D36+F36</f>
        <v>7971.00459335225</v>
      </c>
      <c r="H36" s="71"/>
      <c r="I36" s="87" t="n">
        <f aca="false">D36*12</f>
        <v>44330.9773790269</v>
      </c>
      <c r="J36" s="87" t="n">
        <f aca="false">G23*12</f>
        <v>51321.0777412001</v>
      </c>
      <c r="K36" s="86" t="n">
        <f aca="false">I36+J36</f>
        <v>95652.055120227</v>
      </c>
    </row>
    <row r="37" customFormat="false" ht="19.5" hidden="false" customHeight="true" outlineLevel="0" collapsed="false">
      <c r="A37" s="82" t="s">
        <v>189</v>
      </c>
      <c r="B37" s="64" t="s">
        <v>190</v>
      </c>
      <c r="C37" s="83" t="n">
        <f aca="false">C36*(1+J8/100)</f>
        <v>1.238824650625</v>
      </c>
      <c r="D37" s="34" t="n">
        <f aca="false">J10/12*C37</f>
        <v>3897.43176123945</v>
      </c>
      <c r="E37" s="71"/>
      <c r="F37" s="28" t="n">
        <f aca="false">G23</f>
        <v>4276.75647843334</v>
      </c>
      <c r="G37" s="70" t="n">
        <f aca="false">D37+F37</f>
        <v>8174.18823967279</v>
      </c>
      <c r="H37" s="71"/>
      <c r="I37" s="28" t="n">
        <f aca="false">D37*12</f>
        <v>46769.1811348734</v>
      </c>
      <c r="J37" s="28" t="n">
        <f aca="false">G23*12</f>
        <v>51321.0777412001</v>
      </c>
      <c r="K37" s="34" t="n">
        <f aca="false">I37+J37</f>
        <v>98090.2588760735</v>
      </c>
    </row>
    <row r="38" customFormat="false" ht="19.5" hidden="false" customHeight="true" outlineLevel="0" collapsed="false">
      <c r="A38" s="84" t="s">
        <v>191</v>
      </c>
      <c r="B38" s="63" t="s">
        <v>192</v>
      </c>
      <c r="C38" s="85" t="n">
        <f aca="false">C37*(1+J8/100)</f>
        <v>1.30696000640937</v>
      </c>
      <c r="D38" s="86" t="n">
        <f aca="false">J10/12*C38</f>
        <v>4111.79050810762</v>
      </c>
      <c r="E38" s="71"/>
      <c r="F38" s="87" t="n">
        <f aca="false">G23</f>
        <v>4276.75647843334</v>
      </c>
      <c r="G38" s="70" t="n">
        <f aca="false">D38+F38</f>
        <v>8388.54698654096</v>
      </c>
      <c r="H38" s="71"/>
      <c r="I38" s="87" t="n">
        <f aca="false">D38*12</f>
        <v>49341.4860972914</v>
      </c>
      <c r="J38" s="87" t="n">
        <f aca="false">G23*12</f>
        <v>51321.0777412001</v>
      </c>
      <c r="K38" s="86" t="n">
        <f aca="false">I38+J38</f>
        <v>100662.563838492</v>
      </c>
    </row>
    <row r="39" customFormat="false" ht="19.5" hidden="false" customHeight="true" outlineLevel="0" collapsed="false">
      <c r="A39" s="88" t="s">
        <v>193</v>
      </c>
      <c r="B39" s="61"/>
      <c r="C39" s="61"/>
      <c r="D39" s="89" t="n">
        <f aca="false">SUM(D33:D37)</f>
        <v>17558.51517377</v>
      </c>
      <c r="E39" s="71"/>
      <c r="F39" s="89" t="n">
        <f aca="false">SUM(F33:F37)</f>
        <v>21383.7823921667</v>
      </c>
      <c r="G39" s="89" t="n">
        <f aca="false">SUM(G33:G37)</f>
        <v>38942.2975659367</v>
      </c>
      <c r="H39" s="71"/>
      <c r="I39" s="89" t="n">
        <f aca="false">SUM(I33:I37)</f>
        <v>210702.182085239</v>
      </c>
      <c r="J39" s="89" t="n">
        <f aca="false">SUM(J33:J37)</f>
        <v>256605.388706001</v>
      </c>
      <c r="K39" s="89" t="n">
        <f aca="false">SUM(K33:K37)</f>
        <v>467307.57079124</v>
      </c>
    </row>
    <row r="40" customFormat="false" ht="6" hidden="false" customHeight="true" outlineLevel="0" collapsed="false"/>
    <row r="41" customFormat="false" ht="15" hidden="false" customHeight="true" outlineLevel="0" collapsed="false">
      <c r="A41" s="27" t="s">
        <v>194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customFormat="false" ht="15" hidden="false" customHeight="true" outlineLevel="0" collapsed="false">
      <c r="A42" s="6" t="s">
        <v>195</v>
      </c>
      <c r="B42" s="6"/>
      <c r="C42" s="6"/>
      <c r="D42" s="6"/>
      <c r="E42" s="6"/>
      <c r="F42" s="7"/>
      <c r="G42" s="8" t="s">
        <v>196</v>
      </c>
      <c r="H42" s="8"/>
      <c r="I42" s="8"/>
      <c r="J42" s="8"/>
      <c r="K42" s="8"/>
    </row>
    <row r="43" customFormat="false" ht="19.5" hidden="false" customHeight="true" outlineLevel="0" collapsed="false">
      <c r="A43" s="9" t="s">
        <v>197</v>
      </c>
      <c r="B43" s="90" t="str">
        <f aca="false">J3&amp;" anos ("&amp;J4&amp;" meses)"</f>
        <v>5 anos (60 meses)</v>
      </c>
      <c r="C43" s="90"/>
      <c r="D43" s="90"/>
      <c r="E43" s="90"/>
      <c r="F43" s="7"/>
      <c r="G43" s="9" t="s">
        <v>198</v>
      </c>
      <c r="H43" s="39"/>
      <c r="I43" s="39"/>
      <c r="J43" s="91" t="n">
        <f aca="false">D15</f>
        <v>125999.165</v>
      </c>
      <c r="K43" s="91"/>
    </row>
    <row r="44" customFormat="false" ht="19.5" hidden="false" customHeight="true" outlineLevel="0" collapsed="false">
      <c r="A44" s="9" t="s">
        <v>199</v>
      </c>
      <c r="B44" s="92" t="n">
        <f aca="false">G33</f>
        <v>7422.82865198362</v>
      </c>
      <c r="C44" s="92"/>
      <c r="D44" s="92"/>
      <c r="E44" s="92"/>
      <c r="F44" s="7"/>
      <c r="G44" s="9" t="s">
        <v>200</v>
      </c>
      <c r="H44" s="39"/>
      <c r="I44" s="39"/>
      <c r="J44" s="91" t="n">
        <f aca="false">G23</f>
        <v>4276.75647843334</v>
      </c>
      <c r="K44" s="91"/>
    </row>
    <row r="45" customFormat="false" ht="19.5" hidden="false" customHeight="true" outlineLevel="0" collapsed="false">
      <c r="A45" s="9" t="s">
        <v>201</v>
      </c>
      <c r="B45" s="90" t="str">
        <f aca="false">TEXT(J8,"0.0")&amp;"% ao ano (IPCA estimado)"</f>
        <v>5.5% ao ano (IPCA estimado)</v>
      </c>
      <c r="C45" s="90"/>
      <c r="D45" s="90"/>
      <c r="E45" s="90"/>
      <c r="F45" s="7"/>
      <c r="G45" s="9" t="s">
        <v>154</v>
      </c>
      <c r="H45" s="39"/>
      <c r="I45" s="39"/>
      <c r="J45" s="91" t="n">
        <f aca="false">G25</f>
        <v>130606.223706001</v>
      </c>
      <c r="K45" s="91"/>
    </row>
    <row r="46" customFormat="false" ht="19.5" hidden="false" customHeight="true" outlineLevel="0" collapsed="false">
      <c r="A46" s="9" t="s">
        <v>202</v>
      </c>
      <c r="B46" s="90" t="str">
        <f aca="false">"Transferida ao final do "&amp;J3&amp;"º ano"</f>
        <v>Transferida ao final do 5º ano</v>
      </c>
      <c r="C46" s="90"/>
      <c r="D46" s="90"/>
      <c r="E46" s="90"/>
      <c r="F46" s="7"/>
      <c r="G46" s="9" t="s">
        <v>203</v>
      </c>
      <c r="H46" s="39"/>
      <c r="I46" s="39"/>
      <c r="J46" s="93" t="n">
        <f aca="false">G26</f>
        <v>1.03656420029451</v>
      </c>
      <c r="K46" s="93"/>
    </row>
    <row r="47" customFormat="false" ht="6" hidden="false" customHeight="true" outlineLevel="0" collapsed="false"/>
    <row r="48" customFormat="false" ht="12.75" hidden="false" customHeight="true" outlineLevel="0" collapsed="false">
      <c r="A48" s="94" t="s">
        <v>204</v>
      </c>
      <c r="B48" s="94"/>
      <c r="C48" s="94"/>
      <c r="D48" s="94"/>
      <c r="E48" s="94"/>
      <c r="F48" s="94"/>
      <c r="G48" s="94"/>
      <c r="H48" s="94"/>
      <c r="I48" s="94"/>
      <c r="J48" s="94"/>
      <c r="K48" s="94"/>
    </row>
  </sheetData>
  <mergeCells count="16">
    <mergeCell ref="A1:K1"/>
    <mergeCell ref="F13:K13"/>
    <mergeCell ref="A21:K21"/>
    <mergeCell ref="A31:K31"/>
    <mergeCell ref="A41:K41"/>
    <mergeCell ref="A42:E42"/>
    <mergeCell ref="G42:K42"/>
    <mergeCell ref="B43:E43"/>
    <mergeCell ref="J43:K43"/>
    <mergeCell ref="B44:E44"/>
    <mergeCell ref="J44:K44"/>
    <mergeCell ref="B45:E45"/>
    <mergeCell ref="J45:K45"/>
    <mergeCell ref="B46:E46"/>
    <mergeCell ref="J46:K46"/>
    <mergeCell ref="A48:K48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99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62"/>
    <col collapsed="false" customWidth="true" hidden="false" outlineLevel="0" max="2" min="2" style="1" width="24.13"/>
    <col collapsed="false" customWidth="true" hidden="false" outlineLevel="0" max="3" min="3" style="1" width="30.25"/>
    <col collapsed="false" customWidth="true" hidden="false" outlineLevel="0" max="4" min="4" style="1" width="8.63"/>
    <col collapsed="false" customWidth="true" hidden="false" outlineLevel="0" max="5" min="5" style="1" width="16.75"/>
    <col collapsed="false" customWidth="true" hidden="false" outlineLevel="0" max="6" min="6" style="1" width="8.63"/>
    <col collapsed="false" customWidth="true" hidden="false" outlineLevel="0" max="7" min="7" style="1" width="9.63"/>
    <col collapsed="false" customWidth="true" hidden="false" outlineLevel="0" max="8" min="8" style="1" width="8.63"/>
    <col collapsed="false" customWidth="true" hidden="false" outlineLevel="0" max="9" min="9" style="1" width="10.75"/>
    <col collapsed="false" customWidth="true" hidden="false" outlineLevel="0" max="26" min="10" style="1" width="8.63"/>
  </cols>
  <sheetData>
    <row r="1" customFormat="false" ht="33" hidden="false" customHeight="true" outlineLevel="0" collapsed="false">
      <c r="A1" s="95" t="s">
        <v>205</v>
      </c>
      <c r="B1" s="95"/>
      <c r="C1" s="95"/>
    </row>
    <row r="2" customFormat="false" ht="15" hidden="false" customHeight="true" outlineLevel="0" collapsed="false">
      <c r="A2" s="96" t="s">
        <v>4</v>
      </c>
      <c r="B2" s="96" t="s">
        <v>2</v>
      </c>
      <c r="C2" s="96" t="s">
        <v>206</v>
      </c>
    </row>
    <row r="3" customFormat="false" ht="27.75" hidden="false" customHeight="true" outlineLevel="0" collapsed="false">
      <c r="A3" s="97" t="s">
        <v>207</v>
      </c>
      <c r="B3" s="98" t="n">
        <v>100</v>
      </c>
      <c r="C3" s="99" t="s">
        <v>208</v>
      </c>
    </row>
    <row r="4" customFormat="false" ht="27.75" hidden="false" customHeight="true" outlineLevel="0" collapsed="false">
      <c r="A4" s="97" t="s">
        <v>209</v>
      </c>
      <c r="B4" s="98" t="n">
        <v>48</v>
      </c>
      <c r="C4" s="99" t="s">
        <v>210</v>
      </c>
    </row>
    <row r="5" customFormat="false" ht="27.75" hidden="false" customHeight="true" outlineLevel="0" collapsed="false">
      <c r="A5" s="97" t="s">
        <v>211</v>
      </c>
      <c r="B5" s="100" t="n">
        <v>2200</v>
      </c>
      <c r="C5" s="99" t="s">
        <v>212</v>
      </c>
    </row>
    <row r="6" customFormat="false" ht="27.75" hidden="false" customHeight="true" outlineLevel="0" collapsed="false">
      <c r="A6" s="97" t="s">
        <v>213</v>
      </c>
      <c r="B6" s="100" t="n">
        <v>16.5</v>
      </c>
      <c r="C6" s="99" t="s">
        <v>214</v>
      </c>
      <c r="E6" s="101" t="n">
        <f aca="false">(B3*B6)+B5</f>
        <v>3850</v>
      </c>
    </row>
    <row r="7" customFormat="false" ht="27.75" hidden="false" customHeight="true" outlineLevel="0" collapsed="false">
      <c r="A7" s="97" t="s">
        <v>215</v>
      </c>
      <c r="B7" s="102" t="n">
        <v>0.05</v>
      </c>
      <c r="C7" s="99" t="s">
        <v>216</v>
      </c>
    </row>
    <row r="8" customFormat="false" ht="27.75" hidden="false" customHeight="true" outlineLevel="0" collapsed="false">
      <c r="A8" s="97" t="s">
        <v>217</v>
      </c>
      <c r="B8" s="102" t="n">
        <v>0.1</v>
      </c>
      <c r="C8" s="99" t="s">
        <v>216</v>
      </c>
    </row>
    <row r="9" customFormat="false" ht="27.75" hidden="false" customHeight="true" outlineLevel="0" collapsed="false">
      <c r="A9" s="97" t="s">
        <v>218</v>
      </c>
      <c r="B9" s="103" t="n">
        <v>0</v>
      </c>
      <c r="C9" s="99" t="s">
        <v>219</v>
      </c>
    </row>
    <row r="10" customFormat="false" ht="27.75" hidden="false" customHeight="true" outlineLevel="0" collapsed="false">
      <c r="A10" s="97" t="s">
        <v>220</v>
      </c>
      <c r="B10" s="103" t="n">
        <v>0</v>
      </c>
      <c r="C10" s="99" t="s">
        <v>219</v>
      </c>
    </row>
    <row r="11" customFormat="false" ht="27.75" hidden="false" customHeight="true" outlineLevel="0" collapsed="false">
      <c r="A11" s="97" t="s">
        <v>221</v>
      </c>
      <c r="B11" s="103" t="n">
        <v>0</v>
      </c>
      <c r="C11" s="99" t="s">
        <v>219</v>
      </c>
    </row>
    <row r="12" customFormat="false" ht="27.75" hidden="false" customHeight="true" outlineLevel="0" collapsed="false">
      <c r="A12" s="97" t="s">
        <v>222</v>
      </c>
      <c r="B12" s="100" t="n">
        <v>0</v>
      </c>
      <c r="C12" s="99" t="s">
        <v>223</v>
      </c>
    </row>
    <row r="13" customFormat="false" ht="27.75" hidden="false" customHeight="true" outlineLevel="0" collapsed="false">
      <c r="A13" s="97" t="s">
        <v>224</v>
      </c>
      <c r="B13" s="104" t="n">
        <v>0.05</v>
      </c>
      <c r="C13" s="99" t="s">
        <v>225</v>
      </c>
    </row>
    <row r="14" customFormat="false" ht="27.75" hidden="false" customHeight="true" outlineLevel="0" collapsed="false">
      <c r="A14" s="97" t="s">
        <v>226</v>
      </c>
      <c r="B14" s="104" t="n">
        <v>0.1</v>
      </c>
      <c r="C14" s="99" t="s">
        <v>227</v>
      </c>
    </row>
    <row r="15" customFormat="false" ht="27.75" hidden="false" customHeight="true" outlineLevel="0" collapsed="false">
      <c r="A15" s="97" t="s">
        <v>201</v>
      </c>
      <c r="B15" s="99" t="s">
        <v>228</v>
      </c>
      <c r="C15" s="99" t="s">
        <v>229</v>
      </c>
    </row>
    <row r="16" customFormat="false" ht="27.75" hidden="false" customHeight="true" outlineLevel="0" collapsed="false">
      <c r="A16" s="97" t="s">
        <v>230</v>
      </c>
      <c r="B16" s="99" t="s">
        <v>231</v>
      </c>
      <c r="C16" s="99" t="s">
        <v>232</v>
      </c>
    </row>
    <row r="17" customFormat="false" ht="15" hidden="false" customHeight="true" outlineLevel="0" collapsed="false">
      <c r="A17" s="105"/>
      <c r="B17" s="105"/>
      <c r="C17" s="105"/>
    </row>
    <row r="18" customFormat="false" ht="15" hidden="false" customHeight="true" outlineLevel="0" collapsed="false">
      <c r="A18" s="105"/>
      <c r="B18" s="105"/>
      <c r="C18" s="105"/>
    </row>
    <row r="19" customFormat="false" ht="33" hidden="false" customHeight="true" outlineLevel="0" collapsed="false">
      <c r="A19" s="106" t="s">
        <v>233</v>
      </c>
      <c r="B19" s="106"/>
      <c r="C19" s="106"/>
    </row>
    <row r="20" customFormat="false" ht="15" hidden="false" customHeight="true" outlineLevel="0" collapsed="false">
      <c r="A20" s="107" t="s">
        <v>4</v>
      </c>
      <c r="B20" s="107" t="s">
        <v>2</v>
      </c>
      <c r="C20" s="107" t="s">
        <v>206</v>
      </c>
    </row>
    <row r="21" customFormat="false" ht="27.75" hidden="false" customHeight="true" outlineLevel="0" collapsed="false">
      <c r="A21" s="97" t="s">
        <v>207</v>
      </c>
      <c r="B21" s="98" t="n">
        <v>40</v>
      </c>
      <c r="C21" s="99" t="s">
        <v>234</v>
      </c>
    </row>
    <row r="22" customFormat="false" ht="27.75" hidden="false" customHeight="true" outlineLevel="0" collapsed="false">
      <c r="A22" s="97" t="s">
        <v>209</v>
      </c>
      <c r="B22" s="98" t="n">
        <v>48</v>
      </c>
      <c r="C22" s="99" t="s">
        <v>210</v>
      </c>
    </row>
    <row r="23" customFormat="false" ht="27.75" hidden="false" customHeight="true" outlineLevel="0" collapsed="false">
      <c r="A23" s="97" t="s">
        <v>211</v>
      </c>
      <c r="B23" s="100" t="n">
        <v>1200</v>
      </c>
      <c r="C23" s="99" t="s">
        <v>212</v>
      </c>
    </row>
    <row r="24" customFormat="false" ht="27.75" hidden="false" customHeight="true" outlineLevel="0" collapsed="false">
      <c r="A24" s="97" t="s">
        <v>213</v>
      </c>
      <c r="B24" s="100" t="n">
        <v>16.5</v>
      </c>
      <c r="C24" s="99" t="s">
        <v>214</v>
      </c>
    </row>
    <row r="25" customFormat="false" ht="27.75" hidden="false" customHeight="true" outlineLevel="0" collapsed="false">
      <c r="A25" s="97" t="s">
        <v>215</v>
      </c>
      <c r="B25" s="102" t="n">
        <v>0.05</v>
      </c>
      <c r="C25" s="99" t="s">
        <v>216</v>
      </c>
    </row>
    <row r="26" customFormat="false" ht="27.75" hidden="false" customHeight="true" outlineLevel="0" collapsed="false">
      <c r="A26" s="97" t="s">
        <v>217</v>
      </c>
      <c r="B26" s="102" t="n">
        <v>0.08</v>
      </c>
      <c r="C26" s="99" t="s">
        <v>235</v>
      </c>
    </row>
    <row r="27" customFormat="false" ht="27.75" hidden="false" customHeight="true" outlineLevel="0" collapsed="false">
      <c r="A27" s="97" t="s">
        <v>218</v>
      </c>
      <c r="B27" s="100" t="n">
        <v>0</v>
      </c>
      <c r="C27" s="99" t="s">
        <v>236</v>
      </c>
    </row>
    <row r="28" customFormat="false" ht="27.75" hidden="false" customHeight="true" outlineLevel="0" collapsed="false">
      <c r="A28" s="97" t="s">
        <v>220</v>
      </c>
      <c r="B28" s="100" t="n">
        <v>0</v>
      </c>
      <c r="C28" s="99" t="s">
        <v>236</v>
      </c>
    </row>
    <row r="29" customFormat="false" ht="27.75" hidden="false" customHeight="true" outlineLevel="0" collapsed="false">
      <c r="A29" s="97" t="s">
        <v>221</v>
      </c>
      <c r="B29" s="100" t="n">
        <v>0</v>
      </c>
      <c r="C29" s="99" t="s">
        <v>236</v>
      </c>
    </row>
    <row r="30" customFormat="false" ht="27.75" hidden="false" customHeight="true" outlineLevel="0" collapsed="false">
      <c r="A30" s="97" t="s">
        <v>222</v>
      </c>
      <c r="B30" s="100" t="n">
        <v>1800</v>
      </c>
      <c r="C30" s="99" t="s">
        <v>237</v>
      </c>
    </row>
    <row r="31" customFormat="false" ht="27.75" hidden="false" customHeight="true" outlineLevel="0" collapsed="false">
      <c r="A31" s="97" t="s">
        <v>224</v>
      </c>
      <c r="B31" s="104" t="n">
        <v>0.05</v>
      </c>
      <c r="C31" s="99" t="s">
        <v>225</v>
      </c>
    </row>
    <row r="32" customFormat="false" ht="27.75" hidden="false" customHeight="true" outlineLevel="0" collapsed="false">
      <c r="A32" s="97" t="s">
        <v>226</v>
      </c>
      <c r="B32" s="104" t="n">
        <v>0.07</v>
      </c>
      <c r="C32" s="99" t="s">
        <v>227</v>
      </c>
    </row>
    <row r="33" customFormat="false" ht="27.75" hidden="false" customHeight="true" outlineLevel="0" collapsed="false">
      <c r="A33" s="97" t="s">
        <v>201</v>
      </c>
      <c r="B33" s="99" t="s">
        <v>228</v>
      </c>
      <c r="C33" s="99" t="s">
        <v>229</v>
      </c>
    </row>
    <row r="34" customFormat="false" ht="27.75" hidden="false" customHeight="true" outlineLevel="0" collapsed="false">
      <c r="A34" s="97" t="s">
        <v>230</v>
      </c>
      <c r="B34" s="99" t="s">
        <v>238</v>
      </c>
      <c r="C34" s="99" t="s">
        <v>232</v>
      </c>
    </row>
    <row r="35" customFormat="false" ht="15.75" hidden="false" customHeight="true" outlineLevel="0" collapsed="false">
      <c r="A35" s="108"/>
      <c r="B35" s="109"/>
      <c r="C35" s="109"/>
    </row>
    <row r="36" customFormat="false" ht="15.75" hidden="false" customHeight="true" outlineLevel="0" collapsed="false">
      <c r="A36" s="108"/>
      <c r="B36" s="110"/>
      <c r="C36" s="108"/>
    </row>
    <row r="37" customFormat="false" ht="15.75" hidden="false" customHeight="true" outlineLevel="0" collapsed="false">
      <c r="A37" s="108"/>
      <c r="B37" s="110"/>
      <c r="C37" s="108"/>
    </row>
    <row r="38" customFormat="false" ht="15.75" hidden="false" customHeight="true" outlineLevel="0" collapsed="false">
      <c r="A38" s="108"/>
      <c r="B38" s="111"/>
      <c r="C38" s="108"/>
    </row>
    <row r="39" customFormat="false" ht="15.75" hidden="false" customHeight="true" outlineLevel="0" collapsed="false">
      <c r="A39" s="108"/>
      <c r="B39" s="112"/>
      <c r="C39" s="108"/>
    </row>
    <row r="40" customFormat="false" ht="15.75" hidden="false" customHeight="true" outlineLevel="0" collapsed="false">
      <c r="A40" s="108"/>
      <c r="B40" s="112"/>
      <c r="C40" s="108"/>
    </row>
    <row r="41" customFormat="false" ht="15.75" hidden="false" customHeight="true" outlineLevel="0" collapsed="false">
      <c r="A41" s="108"/>
      <c r="B41" s="113"/>
      <c r="C41" s="108"/>
    </row>
    <row r="42" customFormat="false" ht="15.75" hidden="false" customHeight="true" outlineLevel="0" collapsed="false">
      <c r="A42" s="108"/>
      <c r="B42" s="113"/>
      <c r="C42" s="108"/>
    </row>
    <row r="43" customFormat="false" ht="15.75" hidden="false" customHeight="true" outlineLevel="0" collapsed="false">
      <c r="A43" s="108"/>
      <c r="B43" s="113"/>
      <c r="C43" s="108"/>
    </row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>
      <c r="B47" s="114" t="s">
        <v>239</v>
      </c>
      <c r="C47" s="115" t="s">
        <v>240</v>
      </c>
      <c r="D47" s="114" t="s">
        <v>241</v>
      </c>
      <c r="E47" s="116" t="s">
        <v>242</v>
      </c>
      <c r="F47" s="116" t="s">
        <v>243</v>
      </c>
      <c r="G47" s="116" t="s">
        <v>244</v>
      </c>
      <c r="H47" s="116" t="s">
        <v>245</v>
      </c>
      <c r="I47" s="116" t="s">
        <v>246</v>
      </c>
      <c r="J47" s="116" t="s">
        <v>247</v>
      </c>
    </row>
    <row r="48" customFormat="false" ht="15.75" hidden="false" customHeight="true" outlineLevel="0" collapsed="false">
      <c r="A48" s="116" t="s">
        <v>248</v>
      </c>
      <c r="B48" s="117" t="n">
        <v>200</v>
      </c>
      <c r="C48" s="117" t="n">
        <f aca="false">80</f>
        <v>80</v>
      </c>
      <c r="D48" s="117" t="n">
        <f aca="false">B48*C48</f>
        <v>16000</v>
      </c>
      <c r="E48" s="116" t="n">
        <v>20</v>
      </c>
      <c r="F48" s="116" t="n">
        <f aca="false">E48*C48</f>
        <v>1600</v>
      </c>
      <c r="G48" s="117" t="n">
        <f aca="false">F48/E48</f>
        <v>80</v>
      </c>
      <c r="H48" s="118" t="n">
        <v>1</v>
      </c>
      <c r="I48" s="119" t="n">
        <f aca="false">(G48*H48)+G48</f>
        <v>160</v>
      </c>
      <c r="J48" s="120" t="n">
        <f aca="false">I48/12</f>
        <v>13.3333333333333</v>
      </c>
    </row>
    <row r="49" customFormat="false" ht="15.75" hidden="false" customHeight="true" outlineLevel="0" collapsed="false">
      <c r="A49" s="116" t="s">
        <v>249</v>
      </c>
      <c r="B49" s="117" t="n">
        <v>200</v>
      </c>
      <c r="C49" s="117" t="n">
        <f aca="false">80</f>
        <v>80</v>
      </c>
      <c r="D49" s="117" t="n">
        <f aca="false">B49*C49</f>
        <v>16000</v>
      </c>
      <c r="E49" s="116" t="n">
        <v>20</v>
      </c>
      <c r="F49" s="116" t="n">
        <f aca="false">E49*C49</f>
        <v>1600</v>
      </c>
      <c r="G49" s="117" t="n">
        <f aca="false">F49/E49</f>
        <v>80</v>
      </c>
      <c r="H49" s="118" t="n">
        <v>1</v>
      </c>
      <c r="I49" s="119" t="n">
        <f aca="false">(G49*H49)+G49</f>
        <v>160</v>
      </c>
      <c r="J49" s="120" t="n">
        <f aca="false">I49/12</f>
        <v>13.3333333333333</v>
      </c>
    </row>
    <row r="50" customFormat="false" ht="15.75" hidden="false" customHeight="true" outlineLevel="0" collapsed="false">
      <c r="A50" s="116" t="s">
        <v>250</v>
      </c>
      <c r="B50" s="117" t="n">
        <v>200</v>
      </c>
      <c r="C50" s="117" t="n">
        <f aca="false">80</f>
        <v>80</v>
      </c>
      <c r="D50" s="117" t="n">
        <f aca="false">B50*C50</f>
        <v>16000</v>
      </c>
      <c r="E50" s="116" t="n">
        <v>20</v>
      </c>
      <c r="F50" s="116" t="n">
        <f aca="false">E50*C50</f>
        <v>1600</v>
      </c>
      <c r="G50" s="117" t="n">
        <f aca="false">F50/E50</f>
        <v>80</v>
      </c>
      <c r="H50" s="118" t="n">
        <v>1</v>
      </c>
      <c r="I50" s="119" t="n">
        <f aca="false">(G50*H50)+G50</f>
        <v>160</v>
      </c>
      <c r="J50" s="120" t="n">
        <f aca="false">I50/12</f>
        <v>13.3333333333333</v>
      </c>
    </row>
    <row r="51" customFormat="false" ht="15.75" hidden="false" customHeight="true" outlineLevel="0" collapsed="false">
      <c r="A51" s="116" t="s">
        <v>251</v>
      </c>
      <c r="B51" s="117" t="n">
        <v>200</v>
      </c>
      <c r="C51" s="117" t="n">
        <f aca="false">80</f>
        <v>80</v>
      </c>
      <c r="D51" s="117" t="n">
        <f aca="false">B51*C51</f>
        <v>16000</v>
      </c>
      <c r="E51" s="116" t="n">
        <v>20</v>
      </c>
      <c r="F51" s="116" t="n">
        <f aca="false">E51*C51</f>
        <v>1600</v>
      </c>
      <c r="G51" s="117" t="n">
        <f aca="false">F51/E51</f>
        <v>80</v>
      </c>
      <c r="H51" s="118" t="n">
        <v>1</v>
      </c>
      <c r="I51" s="119" t="n">
        <f aca="false">(G51*H51)+G51</f>
        <v>160</v>
      </c>
      <c r="J51" s="120" t="n">
        <f aca="false">I51/12</f>
        <v>13.3333333333333</v>
      </c>
    </row>
    <row r="52" customFormat="false" ht="15.75" hidden="false" customHeight="true" outlineLevel="0" collapsed="false">
      <c r="A52" s="116" t="s">
        <v>252</v>
      </c>
      <c r="B52" s="117" t="n">
        <v>200</v>
      </c>
      <c r="C52" s="117" t="n">
        <f aca="false">80</f>
        <v>80</v>
      </c>
      <c r="D52" s="117" t="n">
        <f aca="false">B52*C52</f>
        <v>16000</v>
      </c>
      <c r="E52" s="116" t="n">
        <v>20</v>
      </c>
      <c r="F52" s="116" t="n">
        <f aca="false">E52*C52</f>
        <v>1600</v>
      </c>
      <c r="G52" s="117" t="n">
        <f aca="false">F52/E52</f>
        <v>80</v>
      </c>
      <c r="H52" s="118" t="n">
        <v>1</v>
      </c>
      <c r="I52" s="119" t="n">
        <f aca="false">(G52*H52)+G52</f>
        <v>160</v>
      </c>
      <c r="J52" s="120" t="n">
        <f aca="false">I52/12</f>
        <v>13.3333333333333</v>
      </c>
    </row>
    <row r="53" customFormat="false" ht="15.75" hidden="false" customHeight="true" outlineLevel="0" collapsed="false">
      <c r="A53" s="116" t="s">
        <v>253</v>
      </c>
      <c r="B53" s="117" t="n">
        <v>200</v>
      </c>
      <c r="C53" s="117" t="n">
        <f aca="false">80</f>
        <v>80</v>
      </c>
      <c r="D53" s="117" t="n">
        <f aca="false">B53*C53</f>
        <v>16000</v>
      </c>
      <c r="E53" s="116" t="n">
        <v>20</v>
      </c>
      <c r="F53" s="116" t="n">
        <f aca="false">E53*C53</f>
        <v>1600</v>
      </c>
      <c r="G53" s="117" t="n">
        <f aca="false">F53/E53</f>
        <v>80</v>
      </c>
      <c r="H53" s="118" t="n">
        <v>1</v>
      </c>
      <c r="I53" s="119" t="n">
        <f aca="false">(G53*H53)+G53</f>
        <v>160</v>
      </c>
      <c r="J53" s="120" t="n">
        <f aca="false">I53/12</f>
        <v>13.3333333333333</v>
      </c>
    </row>
    <row r="54" customFormat="false" ht="15.75" hidden="false" customHeight="true" outlineLevel="0" collapsed="false">
      <c r="A54" s="116" t="s">
        <v>254</v>
      </c>
      <c r="B54" s="117" t="n">
        <v>200</v>
      </c>
      <c r="C54" s="117" t="n">
        <f aca="false">80</f>
        <v>80</v>
      </c>
      <c r="D54" s="117" t="n">
        <f aca="false">B54*C54</f>
        <v>16000</v>
      </c>
      <c r="E54" s="116" t="n">
        <v>20</v>
      </c>
      <c r="F54" s="116" t="n">
        <f aca="false">E54*C54</f>
        <v>1600</v>
      </c>
      <c r="G54" s="117" t="n">
        <f aca="false">F54/E54</f>
        <v>80</v>
      </c>
      <c r="H54" s="118" t="n">
        <v>1</v>
      </c>
      <c r="I54" s="119" t="n">
        <f aca="false">(G54*H54)+G54</f>
        <v>160</v>
      </c>
      <c r="J54" s="120" t="n">
        <f aca="false">I54/12</f>
        <v>13.3333333333333</v>
      </c>
    </row>
    <row r="55" customFormat="false" ht="15.75" hidden="false" customHeight="true" outlineLevel="0" collapsed="false">
      <c r="A55" s="116" t="s">
        <v>255</v>
      </c>
      <c r="B55" s="117" t="n">
        <v>200</v>
      </c>
      <c r="C55" s="117" t="n">
        <f aca="false">80</f>
        <v>80</v>
      </c>
      <c r="D55" s="117" t="n">
        <f aca="false">B55*C55</f>
        <v>16000</v>
      </c>
      <c r="E55" s="116" t="n">
        <v>20</v>
      </c>
      <c r="F55" s="116" t="n">
        <f aca="false">E55*C55</f>
        <v>1600</v>
      </c>
      <c r="G55" s="117" t="n">
        <f aca="false">F55/E55</f>
        <v>80</v>
      </c>
      <c r="H55" s="118" t="n">
        <v>1</v>
      </c>
      <c r="I55" s="119" t="n">
        <f aca="false">(G55*H55)+G55</f>
        <v>160</v>
      </c>
      <c r="J55" s="120" t="n">
        <f aca="false">I55/12</f>
        <v>13.3333333333333</v>
      </c>
    </row>
    <row r="56" customFormat="false" ht="15.75" hidden="false" customHeight="true" outlineLevel="0" collapsed="false">
      <c r="A56" s="116" t="s">
        <v>256</v>
      </c>
      <c r="B56" s="117" t="n">
        <v>200</v>
      </c>
      <c r="C56" s="117" t="n">
        <f aca="false">80</f>
        <v>80</v>
      </c>
      <c r="D56" s="117" t="n">
        <f aca="false">B56*C56</f>
        <v>16000</v>
      </c>
      <c r="E56" s="116" t="n">
        <v>20</v>
      </c>
      <c r="F56" s="116" t="n">
        <f aca="false">E56*C56</f>
        <v>1600</v>
      </c>
      <c r="G56" s="117" t="n">
        <f aca="false">F56/E56</f>
        <v>80</v>
      </c>
      <c r="H56" s="118" t="n">
        <v>1</v>
      </c>
      <c r="I56" s="119" t="n">
        <f aca="false">(G56*H56)+G56</f>
        <v>160</v>
      </c>
      <c r="J56" s="120" t="n">
        <f aca="false">I56/12</f>
        <v>13.3333333333333</v>
      </c>
    </row>
    <row r="57" customFormat="false" ht="15.75" hidden="false" customHeight="true" outlineLevel="0" collapsed="false">
      <c r="A57" s="116" t="s">
        <v>257</v>
      </c>
      <c r="B57" s="117" t="n">
        <v>200</v>
      </c>
      <c r="C57" s="117" t="n">
        <f aca="false">80</f>
        <v>80</v>
      </c>
      <c r="D57" s="117" t="n">
        <f aca="false">B57*C57</f>
        <v>16000</v>
      </c>
      <c r="E57" s="116" t="n">
        <v>20</v>
      </c>
      <c r="F57" s="116" t="n">
        <f aca="false">E57*C57</f>
        <v>1600</v>
      </c>
      <c r="G57" s="117" t="n">
        <f aca="false">F57/E57</f>
        <v>80</v>
      </c>
      <c r="H57" s="118" t="n">
        <v>1</v>
      </c>
      <c r="I57" s="119" t="n">
        <f aca="false">(G57*H57)+G57</f>
        <v>160</v>
      </c>
      <c r="J57" s="120" t="n">
        <f aca="false">I57/12</f>
        <v>13.3333333333333</v>
      </c>
    </row>
    <row r="58" customFormat="false" ht="15.75" hidden="false" customHeight="true" outlineLevel="0" collapsed="false">
      <c r="A58" s="116" t="s">
        <v>258</v>
      </c>
      <c r="B58" s="117" t="n">
        <v>200</v>
      </c>
      <c r="C58" s="117" t="n">
        <f aca="false">80</f>
        <v>80</v>
      </c>
      <c r="D58" s="117" t="n">
        <f aca="false">B58*C58</f>
        <v>16000</v>
      </c>
      <c r="E58" s="116" t="n">
        <v>20</v>
      </c>
      <c r="F58" s="116" t="n">
        <f aca="false">E58*C58</f>
        <v>1600</v>
      </c>
      <c r="G58" s="117" t="n">
        <f aca="false">F58/E58</f>
        <v>80</v>
      </c>
      <c r="H58" s="118" t="n">
        <v>1</v>
      </c>
      <c r="I58" s="119" t="n">
        <f aca="false">(G58*H58)+G58</f>
        <v>160</v>
      </c>
      <c r="J58" s="120" t="n">
        <f aca="false">I58/12</f>
        <v>13.3333333333333</v>
      </c>
    </row>
    <row r="59" customFormat="false" ht="15.75" hidden="false" customHeight="true" outlineLevel="0" collapsed="false">
      <c r="A59" s="116" t="s">
        <v>259</v>
      </c>
      <c r="B59" s="117" t="n">
        <v>200</v>
      </c>
      <c r="C59" s="117" t="n">
        <f aca="false">80</f>
        <v>80</v>
      </c>
      <c r="D59" s="117" t="n">
        <f aca="false">B59*C59</f>
        <v>16000</v>
      </c>
      <c r="E59" s="116" t="n">
        <v>20</v>
      </c>
      <c r="F59" s="116" t="n">
        <f aca="false">E59*C59</f>
        <v>1600</v>
      </c>
      <c r="G59" s="117" t="n">
        <f aca="false">F59/E59</f>
        <v>80</v>
      </c>
      <c r="H59" s="118" t="n">
        <v>1</v>
      </c>
      <c r="I59" s="119" t="n">
        <f aca="false">(G59*H59)+G59</f>
        <v>160</v>
      </c>
      <c r="J59" s="120" t="n">
        <f aca="false">I59/12</f>
        <v>13.3333333333333</v>
      </c>
    </row>
    <row r="60" customFormat="false" ht="15.75" hidden="false" customHeight="true" outlineLevel="0" collapsed="false">
      <c r="B60" s="121" t="n">
        <f aca="false">SUM(B48:B59)</f>
        <v>2400</v>
      </c>
      <c r="C60" s="121" t="n">
        <f aca="false">SUM(C48:C59)</f>
        <v>960</v>
      </c>
      <c r="D60" s="121" t="n">
        <f aca="false">SUM(D48:D59)</f>
        <v>192000</v>
      </c>
      <c r="E60" s="121" t="n">
        <f aca="false">SUM(E48:E59)</f>
        <v>240</v>
      </c>
      <c r="F60" s="121" t="n">
        <f aca="false">SUM(F48:F59)</f>
        <v>19200</v>
      </c>
      <c r="G60" s="122"/>
      <c r="H60" s="122"/>
      <c r="I60" s="122"/>
    </row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>
      <c r="A63" s="123" t="s">
        <v>260</v>
      </c>
    </row>
    <row r="64" customFormat="false" ht="15.75" hidden="false" customHeight="true" outlineLevel="0" collapsed="false">
      <c r="A64" s="124" t="s">
        <v>261</v>
      </c>
      <c r="B64" s="125" t="n">
        <v>420</v>
      </c>
      <c r="C64" s="126" t="s">
        <v>262</v>
      </c>
    </row>
    <row r="65" customFormat="false" ht="15.75" hidden="false" customHeight="true" outlineLevel="0" collapsed="false">
      <c r="A65" s="124" t="s">
        <v>263</v>
      </c>
      <c r="B65" s="125" t="n">
        <v>280</v>
      </c>
      <c r="C65" s="126" t="s">
        <v>264</v>
      </c>
    </row>
    <row r="66" customFormat="false" ht="15.75" hidden="false" customHeight="true" outlineLevel="0" collapsed="false">
      <c r="A66" s="124" t="s">
        <v>265</v>
      </c>
      <c r="B66" s="127" t="n">
        <v>16.5</v>
      </c>
      <c r="C66" s="126" t="s">
        <v>266</v>
      </c>
    </row>
    <row r="67" customFormat="false" ht="15.75" hidden="false" customHeight="true" outlineLevel="0" collapsed="false">
      <c r="A67" s="124" t="s">
        <v>267</v>
      </c>
      <c r="B67" s="128" t="n">
        <v>0.5</v>
      </c>
      <c r="C67" s="126" t="s">
        <v>268</v>
      </c>
    </row>
    <row r="68" customFormat="false" ht="15.75" hidden="false" customHeight="true" outlineLevel="0" collapsed="false">
      <c r="A68" s="124" t="s">
        <v>269</v>
      </c>
      <c r="B68" s="128" t="n">
        <v>0.7</v>
      </c>
      <c r="C68" s="126" t="s">
        <v>270</v>
      </c>
    </row>
    <row r="69" customFormat="false" ht="15.75" hidden="false" customHeight="true" outlineLevel="0" collapsed="false">
      <c r="A69" s="124" t="s">
        <v>271</v>
      </c>
      <c r="B69" s="129" t="n">
        <v>100</v>
      </c>
      <c r="C69" s="126" t="s">
        <v>272</v>
      </c>
    </row>
    <row r="70" customFormat="false" ht="15.75" hidden="false" customHeight="true" outlineLevel="0" collapsed="false">
      <c r="A70" s="124" t="s">
        <v>273</v>
      </c>
      <c r="B70" s="129" t="n">
        <v>300</v>
      </c>
      <c r="C70" s="126" t="s">
        <v>274</v>
      </c>
    </row>
    <row r="71" customFormat="false" ht="15.75" hidden="false" customHeight="true" outlineLevel="0" collapsed="false">
      <c r="A71" s="124" t="s">
        <v>275</v>
      </c>
      <c r="B71" s="129" t="n">
        <v>500</v>
      </c>
      <c r="C71" s="126" t="s">
        <v>276</v>
      </c>
    </row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</sheetData>
  <mergeCells count="2">
    <mergeCell ref="A1:C1"/>
    <mergeCell ref="A19:C19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2026-06-11T18:24:31Z</dcterms:created>
  <dc:creator>openpyxl</dc:creator>
  <dc:description/>
  <dc:language>en-US</dc:language>
  <cp:lastModifiedBy/>
  <dcterms:modified xsi:type="dcterms:W3CDTF">2026-06-17T18:10:47Z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